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lang" sheetId="2" state="visible" r:id="rId4"/>
    <sheet name="Nollywood" sheetId="3" state="visible" r:id="rId5"/>
    <sheet name="Music" sheetId="4" state="visible" r:id="rId6"/>
    <sheet name="Food" sheetId="5" state="visible" r:id="rId7"/>
    <sheet name="Mixed" sheetId="6" state="visible" r:id="rId8"/>
    <sheet name="Sport" sheetId="7" state="visible" r:id="rId9"/>
  </sheets>
  <definedNames>
    <definedName function="false" hidden="true" localSheetId="4" name="_xlnm._FilterDatabase" vbProcedure="false">Food!$A$1:$V$2</definedName>
    <definedName function="false" hidden="true" localSheetId="5" name="_xlnm._FilterDatabase" vbProcedure="false">Mixed!$A$1:$V$2</definedName>
    <definedName function="false" hidden="true" localSheetId="3" name="_xlnm._FilterDatabase" vbProcedure="false">Music!$A$1:$V$2</definedName>
    <definedName function="false" hidden="true" localSheetId="2" name="_xlnm._FilterDatabase" vbProcedure="false">Nollywood!$A$1:$V$2</definedName>
    <definedName function="false" hidden="true" localSheetId="1" name="_xlnm._FilterDatabase" vbProcedure="false">Slang!$A$1:$V$2</definedName>
    <definedName function="false" hidden="true" localSheetId="6" name="_xlnm._FilterDatabase" vbProcedure="false">Sport!$A$1:$V$2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Target from docs/04 §1: 600 approved questions per category at launch. Blue = an input you can change.</t>
        </r>
      </text>
    </comment>
  </commentList>
</comments>
</file>

<file path=xl/sharedStrings.xml><?xml version="1.0" encoding="utf-8"?>
<sst xmlns="http://schemas.openxmlformats.org/spreadsheetml/2006/main" count="169" uniqueCount="53">
  <si>
    <t xml:space="preserve">Who Sabi? question bank</t>
  </si>
  <si>
    <t xml:space="preserve">Built 2026-10-28 from the CSV files in docs/content/question-bank/. Counts update when you change a review_status.</t>
  </si>
  <si>
    <t xml:space="preserve">Category</t>
  </si>
  <si>
    <t xml:space="preserve">Questions</t>
  </si>
  <si>
    <t xml:space="preserve">To check</t>
  </si>
  <si>
    <t xml:space="preserve">Approved</t>
  </si>
  <si>
    <t xml:space="preserve">Fix needed</t>
  </si>
  <si>
    <t xml:space="preserve">Rejected</t>
  </si>
  <si>
    <t xml:space="preserve">Launch target</t>
  </si>
  <si>
    <t xml:space="preserve">Approved vs target</t>
  </si>
  <si>
    <t xml:space="preserve">Slang &amp; Pidgin</t>
  </si>
  <si>
    <t xml:space="preserve">Nollywood</t>
  </si>
  <si>
    <t xml:space="preserve">Music</t>
  </si>
  <si>
    <t xml:space="preserve">Food</t>
  </si>
  <si>
    <t xml:space="preserve">Mixed Naija</t>
  </si>
  <si>
    <t xml:space="preserve">Sport</t>
  </si>
  <si>
    <t xml:space="preserve">Total</t>
  </si>
  <si>
    <t xml:space="preserve">Difficulty mix (all questions)</t>
  </si>
  <si>
    <t xml:space="preserve">Doc 04 target</t>
  </si>
  <si>
    <t xml:space="preserve">Level 1</t>
  </si>
  <si>
    <t xml:space="preserve">Level 2</t>
  </si>
  <si>
    <t xml:space="preserve">Level 3</t>
  </si>
  <si>
    <t xml:space="preserve">Level 4</t>
  </si>
  <si>
    <t xml:space="preserve">Level 5</t>
  </si>
  <si>
    <t xml:space="preserve">How to review</t>
  </si>
  <si>
    <t xml:space="preserve">1. Open a category sheet. Each row is one question; the right answer is always option_a (the game shuffles options).</t>
  </si>
  <si>
    <t xml:space="preserve">2. Open the source_url and check the fact, the spelling and that only one answer is right.</t>
  </si>
  <si>
    <t xml:space="preserve">3. Fill in only the yellow columns: review_status (approved, fix needed or rejected), reviewer, review_notes.</t>
  </si>
  <si>
    <t xml:space="preserve">   Example: approved | Ada | Checked on the CAF site, spelling fine.</t>
  </si>
  <si>
    <t xml:space="preserve">4. Upload the saved workbook to GitHub (same name, same folder) or send it back; the next build copies your marks into the CSVs.</t>
  </si>
  <si>
    <t xml:space="preserve">Only approved questions go into the game. Anything starting "As of October 2026" expires on its valid_until date.</t>
  </si>
  <si>
    <t xml:space="preserve">id</t>
  </si>
  <si>
    <t xml:space="preserve">category</t>
  </si>
  <si>
    <t xml:space="preserve">subcategory</t>
  </si>
  <si>
    <t xml:space="preserve">type</t>
  </si>
  <si>
    <t xml:space="preserve">difficulty</t>
  </si>
  <si>
    <t xml:space="preserve">question</t>
  </si>
  <si>
    <t xml:space="preserve">option_a</t>
  </si>
  <si>
    <t xml:space="preserve">option_b</t>
  </si>
  <si>
    <t xml:space="preserve">option_c</t>
  </si>
  <si>
    <t xml:space="preserve">option_d</t>
  </si>
  <si>
    <t xml:space="preserve">correct_option</t>
  </si>
  <si>
    <t xml:space="preserve">fact</t>
  </si>
  <si>
    <t xml:space="preserve">family_safe</t>
  </si>
  <si>
    <t xml:space="preserve">valid_until</t>
  </si>
  <si>
    <t xml:space="preserve">region_tag</t>
  </si>
  <si>
    <t xml:space="preserve">status</t>
  </si>
  <si>
    <t xml:space="preserve">source_url</t>
  </si>
  <si>
    <t xml:space="preserve">source_title</t>
  </si>
  <si>
    <t xml:space="preserve">added_on</t>
  </si>
  <si>
    <t xml:space="preserve">review_status</t>
  </si>
  <si>
    <t xml:space="preserve">reviewer</t>
  </si>
  <si>
    <t xml:space="preserve">review_notes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</si>
</sst>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8751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0875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751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2" t="s">
        <v>10</v>
      </c>
      <c r="B5" s="2" t="n">
        <f aca="false">COUNTA(Slang!A:A)-1</f>
        <v>0</v>
      </c>
      <c r="C5" s="2" t="n">
        <f aca="false">COUNTIF(Slang!T:T,"to check")</f>
        <v>0</v>
      </c>
      <c r="D5" s="2" t="n">
        <f aca="false">COUNTIF(Slang!T:T,"approved")</f>
        <v>0</v>
      </c>
      <c r="E5" s="2" t="n">
        <f aca="false">COUNTIF(Slang!T:T,"fix needed")</f>
        <v>0</v>
      </c>
      <c r="F5" s="2" t="n">
        <f aca="false">COUNTIF(Slang!T:T,"rejected")</f>
        <v>0</v>
      </c>
      <c r="G5" s="4" t="n">
        <v>600</v>
      </c>
      <c r="H5" s="5" t="n">
        <f aca="false">IF(G5=0,0,D5/G5)</f>
        <v>0</v>
      </c>
    </row>
    <row r="6" customFormat="false" ht="15" hidden="false" customHeight="false" outlineLevel="0" collapsed="false">
      <c r="A6" s="2" t="s">
        <v>11</v>
      </c>
      <c r="B6" s="2" t="n">
        <f aca="false">COUNTA(Nollywood!A:A)-1</f>
        <v>0</v>
      </c>
      <c r="C6" s="2" t="n">
        <f aca="false">COUNTIF(Nollywood!T:T,"to check")</f>
        <v>0</v>
      </c>
      <c r="D6" s="2" t="n">
        <f aca="false">COUNTIF(Nollywood!T:T,"approved")</f>
        <v>0</v>
      </c>
      <c r="E6" s="2" t="n">
        <f aca="false">COUNTIF(Nollywood!T:T,"fix needed")</f>
        <v>0</v>
      </c>
      <c r="F6" s="2" t="n">
        <f aca="false">COUNTIF(Nollywood!T:T,"rejected")</f>
        <v>0</v>
      </c>
      <c r="G6" s="4" t="n">
        <v>600</v>
      </c>
      <c r="H6" s="5" t="n">
        <f aca="false">IF(G6=0,0,D6/G6)</f>
        <v>0</v>
      </c>
    </row>
    <row r="7" customFormat="false" ht="15" hidden="false" customHeight="false" outlineLevel="0" collapsed="false">
      <c r="A7" s="2" t="s">
        <v>12</v>
      </c>
      <c r="B7" s="2" t="n">
        <f aca="false">COUNTA(Music!A:A)-1</f>
        <v>0</v>
      </c>
      <c r="C7" s="2" t="n">
        <f aca="false">COUNTIF(Music!T:T,"to check")</f>
        <v>0</v>
      </c>
      <c r="D7" s="2" t="n">
        <f aca="false">COUNTIF(Music!T:T,"approved")</f>
        <v>0</v>
      </c>
      <c r="E7" s="2" t="n">
        <f aca="false">COUNTIF(Music!T:T,"fix needed")</f>
        <v>0</v>
      </c>
      <c r="F7" s="2" t="n">
        <f aca="false">COUNTIF(Music!T:T,"rejected")</f>
        <v>0</v>
      </c>
      <c r="G7" s="4" t="n">
        <v>600</v>
      </c>
      <c r="H7" s="5" t="n">
        <f aca="false">IF(G7=0,0,D7/G7)</f>
        <v>0</v>
      </c>
    </row>
    <row r="8" customFormat="false" ht="15" hidden="false" customHeight="false" outlineLevel="0" collapsed="false">
      <c r="A8" s="2" t="s">
        <v>13</v>
      </c>
      <c r="B8" s="2" t="n">
        <f aca="false">COUNTA(Food!A:A)-1</f>
        <v>0</v>
      </c>
      <c r="C8" s="2" t="n">
        <f aca="false">COUNTIF(Food!T:T,"to check")</f>
        <v>0</v>
      </c>
      <c r="D8" s="2" t="n">
        <f aca="false">COUNTIF(Food!T:T,"approved")</f>
        <v>0</v>
      </c>
      <c r="E8" s="2" t="n">
        <f aca="false">COUNTIF(Food!T:T,"fix needed")</f>
        <v>0</v>
      </c>
      <c r="F8" s="2" t="n">
        <f aca="false">COUNTIF(Food!T:T,"rejected")</f>
        <v>0</v>
      </c>
      <c r="G8" s="4" t="n">
        <v>600</v>
      </c>
      <c r="H8" s="5" t="n">
        <f aca="false">IF(G8=0,0,D8/G8)</f>
        <v>0</v>
      </c>
    </row>
    <row r="9" customFormat="false" ht="15" hidden="false" customHeight="false" outlineLevel="0" collapsed="false">
      <c r="A9" s="2" t="s">
        <v>14</v>
      </c>
      <c r="B9" s="2" t="n">
        <f aca="false">COUNTA(Mixed!A:A)-1</f>
        <v>0</v>
      </c>
      <c r="C9" s="2" t="n">
        <f aca="false">COUNTIF(Mixed!T:T,"to check")</f>
        <v>0</v>
      </c>
      <c r="D9" s="2" t="n">
        <f aca="false">COUNTIF(Mixed!T:T,"approved")</f>
        <v>0</v>
      </c>
      <c r="E9" s="2" t="n">
        <f aca="false">COUNTIF(Mixed!T:T,"fix needed")</f>
        <v>0</v>
      </c>
      <c r="F9" s="2" t="n">
        <f aca="false">COUNTIF(Mixed!T:T,"rejected")</f>
        <v>0</v>
      </c>
      <c r="G9" s="4" t="n">
        <v>600</v>
      </c>
      <c r="H9" s="5" t="n">
        <f aca="false">IF(G9=0,0,D9/G9)</f>
        <v>0</v>
      </c>
    </row>
    <row r="10" customFormat="false" ht="15" hidden="false" customHeight="false" outlineLevel="0" collapsed="false">
      <c r="A10" s="2" t="s">
        <v>15</v>
      </c>
      <c r="B10" s="2" t="n">
        <f aca="false">COUNTA(Sport!A:A)-1</f>
        <v>0</v>
      </c>
      <c r="C10" s="2" t="n">
        <f aca="false">COUNTIF(Sport!T:T,"to check")</f>
        <v>0</v>
      </c>
      <c r="D10" s="2" t="n">
        <f aca="false">COUNTIF(Sport!T:T,"approved")</f>
        <v>0</v>
      </c>
      <c r="E10" s="2" t="n">
        <f aca="false">COUNTIF(Sport!T:T,"fix needed")</f>
        <v>0</v>
      </c>
      <c r="F10" s="2" t="n">
        <f aca="false">COUNTIF(Sport!T:T,"rejected")</f>
        <v>0</v>
      </c>
      <c r="G10" s="4" t="n">
        <v>600</v>
      </c>
      <c r="H10" s="5" t="n">
        <f aca="false">IF(G10=0,0,D10/G10)</f>
        <v>0</v>
      </c>
    </row>
    <row r="11" customFormat="false" ht="15" hidden="false" customHeight="false" outlineLevel="0" collapsed="false">
      <c r="A11" s="6" t="s">
        <v>16</v>
      </c>
      <c r="B11" s="6" t="n">
        <f aca="false">SUM(B5:B10)</f>
        <v>0</v>
      </c>
      <c r="C11" s="6" t="n">
        <f aca="false">SUM(C5:C10)</f>
        <v>0</v>
      </c>
      <c r="D11" s="6" t="n">
        <f aca="false">SUM(D5:D10)</f>
        <v>0</v>
      </c>
      <c r="E11" s="6" t="n">
        <f aca="false">SUM(E5:E10)</f>
        <v>0</v>
      </c>
      <c r="F11" s="6" t="n">
        <f aca="false">SUM(F5:F10)</f>
        <v>0</v>
      </c>
      <c r="G11" s="6" t="n">
        <f aca="false">SUM(G5:G10)</f>
        <v>3600</v>
      </c>
      <c r="H11" s="7" t="n">
        <f aca="false">IF(G11=0,0,D11/G11)</f>
        <v>0</v>
      </c>
    </row>
    <row r="13" customFormat="false" ht="15" hidden="false" customHeight="false" outlineLevel="0" collapsed="false">
      <c r="A13" s="3" t="s">
        <v>17</v>
      </c>
      <c r="B13" s="3" t="s">
        <v>10</v>
      </c>
      <c r="C13" s="3" t="s">
        <v>11</v>
      </c>
      <c r="D13" s="3" t="s">
        <v>12</v>
      </c>
      <c r="E13" s="3" t="s">
        <v>13</v>
      </c>
      <c r="F13" s="3" t="s">
        <v>14</v>
      </c>
      <c r="G13" s="3" t="s">
        <v>15</v>
      </c>
      <c r="H13" s="3" t="s">
        <v>18</v>
      </c>
    </row>
    <row r="14" customFormat="false" ht="15" hidden="false" customHeight="false" outlineLevel="0" collapsed="false">
      <c r="A14" s="2" t="s">
        <v>19</v>
      </c>
      <c r="B14" s="2" t="n">
        <f aca="false">COUNTIF(Slang!E:E,1)</f>
        <v>0</v>
      </c>
      <c r="C14" s="2" t="n">
        <f aca="false">COUNTIF(Nollywood!E:E,1)</f>
        <v>0</v>
      </c>
      <c r="D14" s="2" t="n">
        <f aca="false">COUNTIF(Music!E:E,1)</f>
        <v>0</v>
      </c>
      <c r="E14" s="2" t="n">
        <f aca="false">COUNTIF(Food!E:E,1)</f>
        <v>0</v>
      </c>
      <c r="F14" s="2" t="n">
        <f aca="false">COUNTIF(Mixed!E:E,1)</f>
        <v>0</v>
      </c>
      <c r="G14" s="2" t="n">
        <f aca="false">COUNTIF(Sport!E:E,1)</f>
        <v>0</v>
      </c>
      <c r="H14" s="8" t="n">
        <v>0.15</v>
      </c>
    </row>
    <row r="15" customFormat="false" ht="15" hidden="false" customHeight="false" outlineLevel="0" collapsed="false">
      <c r="A15" s="2" t="s">
        <v>20</v>
      </c>
      <c r="B15" s="2" t="n">
        <f aca="false">COUNTIF(Slang!E:E,2)</f>
        <v>0</v>
      </c>
      <c r="C15" s="2" t="n">
        <f aca="false">COUNTIF(Nollywood!E:E,2)</f>
        <v>0</v>
      </c>
      <c r="D15" s="2" t="n">
        <f aca="false">COUNTIF(Music!E:E,2)</f>
        <v>0</v>
      </c>
      <c r="E15" s="2" t="n">
        <f aca="false">COUNTIF(Food!E:E,2)</f>
        <v>0</v>
      </c>
      <c r="F15" s="2" t="n">
        <f aca="false">COUNTIF(Mixed!E:E,2)</f>
        <v>0</v>
      </c>
      <c r="G15" s="2" t="n">
        <f aca="false">COUNTIF(Sport!E:E,2)</f>
        <v>0</v>
      </c>
      <c r="H15" s="8" t="n">
        <v>0.2</v>
      </c>
    </row>
    <row r="16" customFormat="false" ht="15" hidden="false" customHeight="false" outlineLevel="0" collapsed="false">
      <c r="A16" s="2" t="s">
        <v>21</v>
      </c>
      <c r="B16" s="2" t="n">
        <f aca="false">COUNTIF(Slang!E:E,3)</f>
        <v>0</v>
      </c>
      <c r="C16" s="2" t="n">
        <f aca="false">COUNTIF(Nollywood!E:E,3)</f>
        <v>0</v>
      </c>
      <c r="D16" s="2" t="n">
        <f aca="false">COUNTIF(Music!E:E,3)</f>
        <v>0</v>
      </c>
      <c r="E16" s="2" t="n">
        <f aca="false">COUNTIF(Food!E:E,3)</f>
        <v>0</v>
      </c>
      <c r="F16" s="2" t="n">
        <f aca="false">COUNTIF(Mixed!E:E,3)</f>
        <v>0</v>
      </c>
      <c r="G16" s="2" t="n">
        <f aca="false">COUNTIF(Sport!E:E,3)</f>
        <v>0</v>
      </c>
      <c r="H16" s="8" t="n">
        <v>0.3</v>
      </c>
    </row>
    <row r="17" customFormat="false" ht="15" hidden="false" customHeight="false" outlineLevel="0" collapsed="false">
      <c r="A17" s="2" t="s">
        <v>22</v>
      </c>
      <c r="B17" s="2" t="n">
        <f aca="false">COUNTIF(Slang!E:E,4)</f>
        <v>0</v>
      </c>
      <c r="C17" s="2" t="n">
        <f aca="false">COUNTIF(Nollywood!E:E,4)</f>
        <v>0</v>
      </c>
      <c r="D17" s="2" t="n">
        <f aca="false">COUNTIF(Music!E:E,4)</f>
        <v>0</v>
      </c>
      <c r="E17" s="2" t="n">
        <f aca="false">COUNTIF(Food!E:E,4)</f>
        <v>0</v>
      </c>
      <c r="F17" s="2" t="n">
        <f aca="false">COUNTIF(Mixed!E:E,4)</f>
        <v>0</v>
      </c>
      <c r="G17" s="2" t="n">
        <f aca="false">COUNTIF(Sport!E:E,4)</f>
        <v>0</v>
      </c>
      <c r="H17" s="8" t="n">
        <v>0.2</v>
      </c>
    </row>
    <row r="18" customFormat="false" ht="15" hidden="false" customHeight="false" outlineLevel="0" collapsed="false">
      <c r="A18" s="2" t="s">
        <v>23</v>
      </c>
      <c r="B18" s="2" t="n">
        <f aca="false">COUNTIF(Slang!E:E,5)</f>
        <v>0</v>
      </c>
      <c r="C18" s="2" t="n">
        <f aca="false">COUNTIF(Nollywood!E:E,5)</f>
        <v>0</v>
      </c>
      <c r="D18" s="2" t="n">
        <f aca="false">COUNTIF(Music!E:E,5)</f>
        <v>0</v>
      </c>
      <c r="E18" s="2" t="n">
        <f aca="false">COUNTIF(Food!E:E,5)</f>
        <v>0</v>
      </c>
      <c r="F18" s="2" t="n">
        <f aca="false">COUNTIF(Mixed!E:E,5)</f>
        <v>0</v>
      </c>
      <c r="G18" s="2" t="n">
        <f aca="false">COUNTIF(Sport!E:E,5)</f>
        <v>0</v>
      </c>
      <c r="H18" s="8" t="n">
        <v>0.15</v>
      </c>
    </row>
    <row r="20" customFormat="false" ht="15" hidden="false" customHeight="false" outlineLevel="0" collapsed="false">
      <c r="A20" s="6" t="s">
        <v>24</v>
      </c>
    </row>
    <row r="21" customFormat="false" ht="15" hidden="false" customHeight="false" outlineLevel="0" collapsed="false">
      <c r="A21" s="2" t="s">
        <v>25</v>
      </c>
    </row>
    <row r="22" customFormat="false" ht="15" hidden="false" customHeight="false" outlineLevel="0" collapsed="false">
      <c r="A22" s="2" t="s">
        <v>26</v>
      </c>
    </row>
    <row r="23" customFormat="false" ht="15" hidden="false" customHeight="false" outlineLevel="0" collapsed="false">
      <c r="A23" s="2" t="s">
        <v>27</v>
      </c>
    </row>
    <row r="24" customFormat="false" ht="15" hidden="false" customHeight="false" outlineLevel="0" collapsed="false">
      <c r="A24" s="2" t="s">
        <v>28</v>
      </c>
    </row>
    <row r="25" customFormat="false" ht="15" hidden="false" customHeight="false" outlineLevel="0" collapsed="false">
      <c r="A25" s="2" t="s">
        <v>29</v>
      </c>
    </row>
    <row r="26" customFormat="false" ht="15" hidden="false" customHeight="false" outlineLevel="0" collapsed="false">
      <c r="A26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48"/>
    <col collapsed="false" customWidth="true" hidden="false" outlineLevel="0" max="11" min="7" style="0" width="14"/>
    <col collapsed="false" customWidth="true" hidden="false" outlineLevel="0" max="12" min="12" style="0" width="48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6" min="15" style="0" width="14"/>
    <col collapsed="false" customWidth="true" hidden="false" outlineLevel="0" max="17" min="17" style="0" width="30"/>
    <col collapsed="false" customWidth="true" hidden="false" outlineLevel="0" max="18" min="18" style="0" width="28"/>
    <col collapsed="false" customWidth="true" hidden="false" outlineLevel="0" max="21" min="19" style="0" width="14"/>
    <col collapsed="false" customWidth="true" hidden="false" outlineLevel="0" max="22" min="22" style="0" width="30"/>
  </cols>
  <sheetData>
    <row r="1" customFormat="false" ht="15" hidden="false" customHeight="false" outlineLevel="0" collapsed="false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9" t="s">
        <v>38</v>
      </c>
      <c r="I1" s="9" t="s">
        <v>39</v>
      </c>
      <c r="J1" s="9" t="s">
        <v>40</v>
      </c>
      <c r="K1" s="9" t="s">
        <v>41</v>
      </c>
      <c r="L1" s="9" t="s">
        <v>42</v>
      </c>
      <c r="M1" s="9" t="s">
        <v>43</v>
      </c>
      <c r="N1" s="9" t="s">
        <v>44</v>
      </c>
      <c r="O1" s="9" t="s">
        <v>45</v>
      </c>
      <c r="P1" s="9" t="s">
        <v>46</v>
      </c>
      <c r="Q1" s="9" t="s">
        <v>47</v>
      </c>
      <c r="R1" s="9" t="s">
        <v>48</v>
      </c>
      <c r="S1" s="9" t="s">
        <v>49</v>
      </c>
      <c r="T1" s="9" t="s">
        <v>50</v>
      </c>
      <c r="U1" s="9" t="s">
        <v>51</v>
      </c>
      <c r="V1" s="9" t="s">
        <v>52</v>
      </c>
    </row>
  </sheetData>
  <autoFilter ref="A1:V2"/>
  <dataValidations count="1">
    <dataValidation allowBlank="true" errorStyle="stop" operator="between" showDropDown="false" showErrorMessage="false" showInputMessage="false" sqref="T2:T1001" type="list">
      <formula1>"to check,approved,fix needed,rejected"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48"/>
    <col collapsed="false" customWidth="true" hidden="false" outlineLevel="0" max="11" min="7" style="0" width="14"/>
    <col collapsed="false" customWidth="true" hidden="false" outlineLevel="0" max="12" min="12" style="0" width="48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6" min="15" style="0" width="14"/>
    <col collapsed="false" customWidth="true" hidden="false" outlineLevel="0" max="17" min="17" style="0" width="30"/>
    <col collapsed="false" customWidth="true" hidden="false" outlineLevel="0" max="18" min="18" style="0" width="28"/>
    <col collapsed="false" customWidth="true" hidden="false" outlineLevel="0" max="21" min="19" style="0" width="14"/>
    <col collapsed="false" customWidth="true" hidden="false" outlineLevel="0" max="22" min="22" style="0" width="30"/>
  </cols>
  <sheetData>
    <row r="1" customFormat="false" ht="15" hidden="false" customHeight="false" outlineLevel="0" collapsed="false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9" t="s">
        <v>38</v>
      </c>
      <c r="I1" s="9" t="s">
        <v>39</v>
      </c>
      <c r="J1" s="9" t="s">
        <v>40</v>
      </c>
      <c r="K1" s="9" t="s">
        <v>41</v>
      </c>
      <c r="L1" s="9" t="s">
        <v>42</v>
      </c>
      <c r="M1" s="9" t="s">
        <v>43</v>
      </c>
      <c r="N1" s="9" t="s">
        <v>44</v>
      </c>
      <c r="O1" s="9" t="s">
        <v>45</v>
      </c>
      <c r="P1" s="9" t="s">
        <v>46</v>
      </c>
      <c r="Q1" s="9" t="s">
        <v>47</v>
      </c>
      <c r="R1" s="9" t="s">
        <v>48</v>
      </c>
      <c r="S1" s="9" t="s">
        <v>49</v>
      </c>
      <c r="T1" s="9" t="s">
        <v>50</v>
      </c>
      <c r="U1" s="9" t="s">
        <v>51</v>
      </c>
      <c r="V1" s="9" t="s">
        <v>52</v>
      </c>
    </row>
  </sheetData>
  <autoFilter ref="A1:V2"/>
  <dataValidations count="1">
    <dataValidation allowBlank="true" errorStyle="stop" operator="between" showDropDown="false" showErrorMessage="false" showInputMessage="false" sqref="T2:T1001" type="list">
      <formula1>"to check,approved,fix needed,rejected"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48"/>
    <col collapsed="false" customWidth="true" hidden="false" outlineLevel="0" max="11" min="7" style="0" width="14"/>
    <col collapsed="false" customWidth="true" hidden="false" outlineLevel="0" max="12" min="12" style="0" width="48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6" min="15" style="0" width="14"/>
    <col collapsed="false" customWidth="true" hidden="false" outlineLevel="0" max="17" min="17" style="0" width="30"/>
    <col collapsed="false" customWidth="true" hidden="false" outlineLevel="0" max="18" min="18" style="0" width="28"/>
    <col collapsed="false" customWidth="true" hidden="false" outlineLevel="0" max="21" min="19" style="0" width="14"/>
    <col collapsed="false" customWidth="true" hidden="false" outlineLevel="0" max="22" min="22" style="0" width="30"/>
  </cols>
  <sheetData>
    <row r="1" customFormat="false" ht="15" hidden="false" customHeight="false" outlineLevel="0" collapsed="false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9" t="s">
        <v>38</v>
      </c>
      <c r="I1" s="9" t="s">
        <v>39</v>
      </c>
      <c r="J1" s="9" t="s">
        <v>40</v>
      </c>
      <c r="K1" s="9" t="s">
        <v>41</v>
      </c>
      <c r="L1" s="9" t="s">
        <v>42</v>
      </c>
      <c r="M1" s="9" t="s">
        <v>43</v>
      </c>
      <c r="N1" s="9" t="s">
        <v>44</v>
      </c>
      <c r="O1" s="9" t="s">
        <v>45</v>
      </c>
      <c r="P1" s="9" t="s">
        <v>46</v>
      </c>
      <c r="Q1" s="9" t="s">
        <v>47</v>
      </c>
      <c r="R1" s="9" t="s">
        <v>48</v>
      </c>
      <c r="S1" s="9" t="s">
        <v>49</v>
      </c>
      <c r="T1" s="9" t="s">
        <v>50</v>
      </c>
      <c r="U1" s="9" t="s">
        <v>51</v>
      </c>
      <c r="V1" s="9" t="s">
        <v>52</v>
      </c>
    </row>
  </sheetData>
  <autoFilter ref="A1:V2"/>
  <dataValidations count="1">
    <dataValidation allowBlank="true" errorStyle="stop" operator="between" showDropDown="false" showErrorMessage="false" showInputMessage="false" sqref="T2:T1001" type="list">
      <formula1>"to check,approved,fix needed,rejected"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48"/>
    <col collapsed="false" customWidth="true" hidden="false" outlineLevel="0" max="11" min="7" style="0" width="14"/>
    <col collapsed="false" customWidth="true" hidden="false" outlineLevel="0" max="12" min="12" style="0" width="48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6" min="15" style="0" width="14"/>
    <col collapsed="false" customWidth="true" hidden="false" outlineLevel="0" max="17" min="17" style="0" width="30"/>
    <col collapsed="false" customWidth="true" hidden="false" outlineLevel="0" max="18" min="18" style="0" width="28"/>
    <col collapsed="false" customWidth="true" hidden="false" outlineLevel="0" max="21" min="19" style="0" width="14"/>
    <col collapsed="false" customWidth="true" hidden="false" outlineLevel="0" max="22" min="22" style="0" width="30"/>
  </cols>
  <sheetData>
    <row r="1" customFormat="false" ht="15" hidden="false" customHeight="false" outlineLevel="0" collapsed="false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9" t="s">
        <v>38</v>
      </c>
      <c r="I1" s="9" t="s">
        <v>39</v>
      </c>
      <c r="J1" s="9" t="s">
        <v>40</v>
      </c>
      <c r="K1" s="9" t="s">
        <v>41</v>
      </c>
      <c r="L1" s="9" t="s">
        <v>42</v>
      </c>
      <c r="M1" s="9" t="s">
        <v>43</v>
      </c>
      <c r="N1" s="9" t="s">
        <v>44</v>
      </c>
      <c r="O1" s="9" t="s">
        <v>45</v>
      </c>
      <c r="P1" s="9" t="s">
        <v>46</v>
      </c>
      <c r="Q1" s="9" t="s">
        <v>47</v>
      </c>
      <c r="R1" s="9" t="s">
        <v>48</v>
      </c>
      <c r="S1" s="9" t="s">
        <v>49</v>
      </c>
      <c r="T1" s="9" t="s">
        <v>50</v>
      </c>
      <c r="U1" s="9" t="s">
        <v>51</v>
      </c>
      <c r="V1" s="9" t="s">
        <v>52</v>
      </c>
    </row>
  </sheetData>
  <autoFilter ref="A1:V2"/>
  <dataValidations count="1">
    <dataValidation allowBlank="true" errorStyle="stop" operator="between" showDropDown="false" showErrorMessage="false" showInputMessage="false" sqref="T2:T1001" type="list">
      <formula1>"to check,approved,fix needed,rejected"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48"/>
    <col collapsed="false" customWidth="true" hidden="false" outlineLevel="0" max="11" min="7" style="0" width="14"/>
    <col collapsed="false" customWidth="true" hidden="false" outlineLevel="0" max="12" min="12" style="0" width="48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6" min="15" style="0" width="14"/>
    <col collapsed="false" customWidth="true" hidden="false" outlineLevel="0" max="17" min="17" style="0" width="30"/>
    <col collapsed="false" customWidth="true" hidden="false" outlineLevel="0" max="18" min="18" style="0" width="28"/>
    <col collapsed="false" customWidth="true" hidden="false" outlineLevel="0" max="21" min="19" style="0" width="14"/>
    <col collapsed="false" customWidth="true" hidden="false" outlineLevel="0" max="22" min="22" style="0" width="30"/>
  </cols>
  <sheetData>
    <row r="1" customFormat="false" ht="15" hidden="false" customHeight="false" outlineLevel="0" collapsed="false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9" t="s">
        <v>38</v>
      </c>
      <c r="I1" s="9" t="s">
        <v>39</v>
      </c>
      <c r="J1" s="9" t="s">
        <v>40</v>
      </c>
      <c r="K1" s="9" t="s">
        <v>41</v>
      </c>
      <c r="L1" s="9" t="s">
        <v>42</v>
      </c>
      <c r="M1" s="9" t="s">
        <v>43</v>
      </c>
      <c r="N1" s="9" t="s">
        <v>44</v>
      </c>
      <c r="O1" s="9" t="s">
        <v>45</v>
      </c>
      <c r="P1" s="9" t="s">
        <v>46</v>
      </c>
      <c r="Q1" s="9" t="s">
        <v>47</v>
      </c>
      <c r="R1" s="9" t="s">
        <v>48</v>
      </c>
      <c r="S1" s="9" t="s">
        <v>49</v>
      </c>
      <c r="T1" s="9" t="s">
        <v>50</v>
      </c>
      <c r="U1" s="9" t="s">
        <v>51</v>
      </c>
      <c r="V1" s="9" t="s">
        <v>52</v>
      </c>
    </row>
  </sheetData>
  <autoFilter ref="A1:V2"/>
  <dataValidations count="1">
    <dataValidation allowBlank="true" errorStyle="stop" operator="between" showDropDown="false" showErrorMessage="false" showInputMessage="false" sqref="T2:T1001" type="list">
      <formula1>"to check,approved,fix needed,rejected"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48"/>
    <col collapsed="false" customWidth="true" hidden="false" outlineLevel="0" max="11" min="7" style="0" width="14"/>
    <col collapsed="false" customWidth="true" hidden="false" outlineLevel="0" max="12" min="12" style="0" width="48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6" min="15" style="0" width="14"/>
    <col collapsed="false" customWidth="true" hidden="false" outlineLevel="0" max="17" min="17" style="0" width="30"/>
    <col collapsed="false" customWidth="true" hidden="false" outlineLevel="0" max="18" min="18" style="0" width="28"/>
    <col collapsed="false" customWidth="true" hidden="false" outlineLevel="0" max="21" min="19" style="0" width="14"/>
    <col collapsed="false" customWidth="true" hidden="false" outlineLevel="0" max="22" min="22" style="0" width="30"/>
  </cols>
  <sheetData>
    <row r="1" customFormat="false" ht="15" hidden="false" customHeight="false" outlineLevel="0" collapsed="false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9" t="s">
        <v>38</v>
      </c>
      <c r="I1" s="9" t="s">
        <v>39</v>
      </c>
      <c r="J1" s="9" t="s">
        <v>40</v>
      </c>
      <c r="K1" s="9" t="s">
        <v>41</v>
      </c>
      <c r="L1" s="9" t="s">
        <v>42</v>
      </c>
      <c r="M1" s="9" t="s">
        <v>43</v>
      </c>
      <c r="N1" s="9" t="s">
        <v>44</v>
      </c>
      <c r="O1" s="9" t="s">
        <v>45</v>
      </c>
      <c r="P1" s="9" t="s">
        <v>46</v>
      </c>
      <c r="Q1" s="9" t="s">
        <v>47</v>
      </c>
      <c r="R1" s="9" t="s">
        <v>48</v>
      </c>
      <c r="S1" s="9" t="s">
        <v>49</v>
      </c>
      <c r="T1" s="9" t="s">
        <v>50</v>
      </c>
      <c r="U1" s="9" t="s">
        <v>51</v>
      </c>
      <c r="V1" s="9" t="s">
        <v>52</v>
      </c>
    </row>
  </sheetData>
  <autoFilter ref="A1:V2"/>
  <dataValidations count="1">
    <dataValidation allowBlank="true" errorStyle="stop" operator="between" showDropDown="false" showErrorMessage="false" showInputMessage="false" sqref="T2:T1001" type="list">
      <formula1>"to check,approved,fix needed,rejected"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2026-10-28T14:22:27Z</dcterms:created>
  <dc:creator>openpyxl</dc:creator>
  <dc:description/>
  <dc:language>en-US</dc:language>
  <cp:lastModifiedBy/>
  <dcterms:modified xsi:type="dcterms:W3CDTF">2026-10-28T14:22:27Z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