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lang" sheetId="2" state="visible" r:id="rId4"/>
    <sheet name="Nollywood" sheetId="3" state="visible" r:id="rId5"/>
    <sheet name="Music" sheetId="4" state="visible" r:id="rId6"/>
    <sheet name="Food" sheetId="5" state="visible" r:id="rId7"/>
    <sheet name="Mixed" sheetId="6" state="visible" r:id="rId8"/>
    <sheet name="Sport" sheetId="7" state="visible" r:id="rId9"/>
  </sheets>
  <definedNames>
    <definedName function="false" hidden="true" localSheetId="4" name="_xlnm._FilterDatabase" vbProcedure="false">Food!$A$1:$V$2</definedName>
    <definedName function="false" hidden="true" localSheetId="5" name="_xlnm._FilterDatabase" vbProcedure="false">Mixed!$A$1:$V$2</definedName>
    <definedName function="false" hidden="true" localSheetId="3" name="_xlnm._FilterDatabase" vbProcedure="false">Music!$A$1:$V$2</definedName>
    <definedName function="false" hidden="true" localSheetId="2" name="_xlnm._FilterDatabase" vbProcedure="false">Nollywood!$A$1:$V$2</definedName>
    <definedName function="false" hidden="true" localSheetId="1" name="_xlnm._FilterDatabase" vbProcedure="false">Slang!$A$1:$V$2</definedName>
    <definedName function="false" hidden="true" localSheetId="6" name="_xlnm._FilterDatabase" vbProcedure="false">Sport!$A$1:$V$159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Target from docs/04 §1: 600 approved questions per category at launch. Blue = an input you can change.</t>
        </r>
      </text>
    </comment>
  </commentList>
</comments>
</file>

<file path=xl/sharedStrings.xml><?xml version="1.0" encoding="utf-8"?>
<sst xmlns="http://schemas.openxmlformats.org/spreadsheetml/2006/main" count="2989" uniqueCount="1312">
  <si>
    <t xml:space="preserve">Who Sabi? question bank</t>
  </si>
  <si>
    <t xml:space="preserve">Built 2026-10-28 from the CSV files in docs/content/question-bank/. Counts update when you change a review_status.</t>
  </si>
  <si>
    <t xml:space="preserve">Category</t>
  </si>
  <si>
    <t xml:space="preserve">Questions</t>
  </si>
  <si>
    <t xml:space="preserve">To check</t>
  </si>
  <si>
    <t xml:space="preserve">Approved</t>
  </si>
  <si>
    <t xml:space="preserve">Fix needed</t>
  </si>
  <si>
    <t xml:space="preserve">Rejected</t>
  </si>
  <si>
    <t xml:space="preserve">Launch target</t>
  </si>
  <si>
    <t xml:space="preserve">Approved vs target</t>
  </si>
  <si>
    <t xml:space="preserve">Slang &amp; Pidgin</t>
  </si>
  <si>
    <t xml:space="preserve">Nollywood</t>
  </si>
  <si>
    <t xml:space="preserve">Music</t>
  </si>
  <si>
    <t xml:space="preserve">Food</t>
  </si>
  <si>
    <t xml:space="preserve">Mixed Naija</t>
  </si>
  <si>
    <t xml:space="preserve">Sport</t>
  </si>
  <si>
    <t xml:space="preserve">Total</t>
  </si>
  <si>
    <t xml:space="preserve">Difficulty mix (all questions)</t>
  </si>
  <si>
    <t xml:space="preserve">Doc 04 target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</si>
  <si>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</si>
  <si>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</si>
  <si>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</si>
  <si>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</si>
  <si>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</si>
  <si>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How to review</t>
  </si>
  <si>
    <t xml:space="preserve">1. Open a category sheet. Each row is one question; the right answer is always option_a (the game shuffles options).</t>
  </si>
  <si>
    <t xml:space="preserve">2. Open the source_url and check the fact, the spelling and that only one answer is right.</t>
  </si>
  <si>
    <t xml:space="preserve">3. Fill in only the yellow columns: review_status (approved, fix needed or rejected), reviewer, review_notes.</t>
  </si>
  <si>
    <t xml:space="preserve">   Example: approved | Ada | Checked on the CAF site, spelling fine.</t>
  </si>
  <si>
    <t xml:space="preserve">4. Upload the saved workbook to GitHub (same name, same folder) or send it back; the next build copies your marks into the CSVs.</t>
  </si>
  <si>
    <t xml:space="preserve">Only approved questions go into the game. Anything starting "As of October 2026" expires on its valid_until date.</t>
  </si>
  <si>
    <t xml:space="preserve">id</t>
  </si>
  <si>
    <t xml:space="preserve">category</t>
  </si>
  <si>
    <t xml:space="preserve">subcategory</t>
  </si>
  <si>
    <t xml:space="preserve">type</t>
  </si>
  <si>
    <t xml:space="preserve">difficulty</t>
  </si>
  <si>
    <t xml:space="preserve">question</t>
  </si>
  <si>
    <t xml:space="preserve">option_a</t>
  </si>
  <si>
    <t xml:space="preserve">option_b</t>
  </si>
  <si>
    <t xml:space="preserve">option_c</t>
  </si>
  <si>
    <t xml:space="preserve">option_d</t>
  </si>
  <si>
    <t xml:space="preserve">correct_option</t>
  </si>
  <si>
    <t xml:space="preserve">fact</t>
  </si>
  <si>
    <t xml:space="preserve">family_safe</t>
  </si>
  <si>
    <t xml:space="preserve">valid_until</t>
  </si>
  <si>
    <t xml:space="preserve">region_tag</t>
  </si>
  <si>
    <t xml:space="preserve">status</t>
  </si>
  <si>
    <t xml:space="preserve">source_url</t>
  </si>
  <si>
    <t xml:space="preserve">source_title</t>
  </si>
  <si>
    <t xml:space="preserve">added_on</t>
  </si>
  <si>
    <t xml:space="preserve">review_status</t>
  </si>
  <si>
    <t xml:space="preserve">reviewer</t>
  </si>
  <si>
    <t xml:space="preserve">review_notes</t>
  </si>
  <si>
    <t xml:space="preserve">SPT-0001</t>
  </si>
  <si>
    <t xml:space="preserve">sport</t>
  </si>
  <si>
    <t xml:space="preserve">super-eagles</t>
  </si>
  <si>
    <t xml:space="preserve">mcq4</t>
  </si>
  <si>
    <t xml:space="preserve">What was the Super Eagles' nickname before it was changed in 1988?</t>
  </si>
  <si>
    <t xml:space="preserve">Green Eagles</t>
  </si>
  <si>
    <t xml:space="preserve">Flying Eagles</t>
  </si>
  <si>
    <t xml:space="preserve">Golden Eaglets</t>
  </si>
  <si>
    <t xml:space="preserve">Dream Team</t>
  </si>
  <si>
    <t xml:space="preserve">a</t>
  </si>
  <si>
    <t xml:space="preserve">The name "Green Eagles" was proposed in a 1961 Daily Times article; before that, the team was the Red Devils.</t>
  </si>
  <si>
    <t xml:space="preserve">true</t>
  </si>
  <si>
    <t xml:space="preserve">ALL</t>
  </si>
  <si>
    <t xml:space="preserve">draft</t>
  </si>
  <si>
    <t xml:space="preserve">https://sportsvillagesquare.com/?p=79212</t>
  </si>
  <si>
    <t xml:space="preserve">Sports Village Square — Veterans salute ex-Green Eagles manager Osugo</t>
  </si>
  <si>
    <t xml:space="preserve">2026-10-28</t>
  </si>
  <si>
    <t xml:space="preserve">to check</t>
  </si>
  <si>
    <t xml:space="preserve">Sources disagree on when the 'Red Devils' nickname was used, so the fact line gives no year for it.</t>
  </si>
  <si>
    <t xml:space="preserve">SPT-0002</t>
  </si>
  <si>
    <t xml:space="preserve">In which year did Nigeria win its first Africa Cup of Nations title?</t>
  </si>
  <si>
    <t xml:space="preserve">1980</t>
  </si>
  <si>
    <t xml:space="preserve">1976</t>
  </si>
  <si>
    <t xml:space="preserve">1984</t>
  </si>
  <si>
    <t xml:space="preserve">1988</t>
  </si>
  <si>
    <t xml:space="preserve">Nigeria hosted that tournament and beat Algeria 3–0 in the final at the National Stadium in Lagos.</t>
  </si>
  <si>
    <t xml:space="preserve">https://archivi.ng/the-archivist/stories/issue-4/green-eagles-of-nigeria-at-afcon-1980</t>
  </si>
  <si>
    <t xml:space="preserve">Archivi.ng — The Green Eagles who won AFCON 1980</t>
  </si>
  <si>
    <t xml:space="preserve">SPT-0003</t>
  </si>
  <si>
    <t xml:space="preserve">Which coach led Nigeria to the 2013 Africa Cup of Nations title?</t>
  </si>
  <si>
    <t xml:space="preserve">Stephen Keshi</t>
  </si>
  <si>
    <t xml:space="preserve">Clemens Westerhof</t>
  </si>
  <si>
    <t xml:space="preserve">Gernot Rohr</t>
  </si>
  <si>
    <t xml:space="preserve">Samson Siasia</t>
  </si>
  <si>
    <t xml:space="preserve">Keshi had won AFCON as a player in 1994, matching Egypt's Mahmoud El-Gohary as a champion both on the pitch and in the dugout.</t>
  </si>
  <si>
    <t xml:space="preserve">https://www.aljazeera.com/sports/2013/2/11/nigeria-triumphs-at-africa-cup-of-nations</t>
  </si>
  <si>
    <t xml:space="preserve">Al Jazeera — Nigeria triumphs at AFCON 2013</t>
  </si>
  <si>
    <t xml:space="preserve">SPT-0004</t>
  </si>
  <si>
    <t xml:space="preserve">At which FIFA World Cup did Nigeria's senior men make their debut?</t>
  </si>
  <si>
    <t xml:space="preserve">USA 1994</t>
  </si>
  <si>
    <t xml:space="preserve">Italy 1990</t>
  </si>
  <si>
    <t xml:space="preserve">France 1998</t>
  </si>
  <si>
    <t xml:space="preserve">Mexico 1986</t>
  </si>
  <si>
    <t xml:space="preserve">On debut Nigeria topped a group with Argentina, Bulgaria and Greece, then reached the round of 16.</t>
  </si>
  <si>
    <t xml:space="preserve">https://inside.fifa.com/en/news/worldcupathome-nigeria-italy-1994-baggio-comeback</t>
  </si>
  <si>
    <t xml:space="preserve">FIFA — Baggio comeback sees Italy oust Nigeria (1994)</t>
  </si>
  <si>
    <t xml:space="preserve">SPT-0005</t>
  </si>
  <si>
    <t xml:space="preserve">Which Super Eagles legend was popularly known as "Jay-Jay"?</t>
  </si>
  <si>
    <t xml:space="preserve">Okocha</t>
  </si>
  <si>
    <t xml:space="preserve">Kanu</t>
  </si>
  <si>
    <t xml:space="preserve">Oliseh</t>
  </si>
  <si>
    <t xml:space="preserve">Amokachi</t>
  </si>
  <si>
    <t xml:space="preserve">He inherited the nickname from his elder brother James. Bolton fans sang that he was "so good they named him twice".</t>
  </si>
  <si>
    <t xml:space="preserve">https://en.wikipedia.org/wiki/Jay-Jay_Okocha</t>
  </si>
  <si>
    <t xml:space="preserve">Wikipedia — Jay-Jay Okocha</t>
  </si>
  <si>
    <t xml:space="preserve">SPT-0006</t>
  </si>
  <si>
    <t xml:space="preserve">Who scored Nigeria's first-ever goal at a FIFA World Cup?</t>
  </si>
  <si>
    <t xml:space="preserve">Rashidi Yekini</t>
  </si>
  <si>
    <t xml:space="preserve">Daniel Amokachi</t>
  </si>
  <si>
    <t xml:space="preserve">Emmanuel Amuneke</t>
  </si>
  <si>
    <t xml:space="preserve">Finidi George</t>
  </si>
  <si>
    <t xml:space="preserve">It came against Bulgaria on 21 June 1994 from a Finidi George cross. Yekini's celebration, gripping the net, became iconic.</t>
  </si>
  <si>
    <t xml:space="preserve">https://www.goal.com/en-us/news/nigerias-first-ever-world-cup-goal-and-the-five-most/blt4192f0869e6dcbd2</t>
  </si>
  <si>
    <t xml:space="preserve">Goal.com — Nigeria's first-ever World Cup goal</t>
  </si>
  <si>
    <t xml:space="preserve">SPT-0007</t>
  </si>
  <si>
    <t xml:space="preserve">Super Eagles great Nwankwo Kanu is popularly known by which nickname?</t>
  </si>
  <si>
    <t xml:space="preserve">Papilo</t>
  </si>
  <si>
    <t xml:space="preserve">Chairman</t>
  </si>
  <si>
    <t xml:space="preserve">Big Boss</t>
  </si>
  <si>
    <t xml:space="preserve">The Bull</t>
  </si>
  <si>
    <t xml:space="preserve">Kanu was named African Footballer of the Year twice, in 1996 and again in 1999.</t>
  </si>
  <si>
    <t xml:space="preserve">https://www.legit.ng/sports/football/1690304-arsenal-legend-kanu-nwankwo-papilo-sends-strong-message-super-eagles-uganda-clash/</t>
  </si>
  <si>
    <t xml:space="preserve">Legit.ng — Kanu 'Papilo' message to the Super Eagles</t>
  </si>
  <si>
    <t xml:space="preserve">The fact line (African Footballer of the Year 1996 and 1999) comes from These Football Times, not the linked page.</t>
  </si>
  <si>
    <t xml:space="preserve">SPT-0008</t>
  </si>
  <si>
    <t xml:space="preserve">Nigeria won the 2013 Africa Cup of Nations in which host country?</t>
  </si>
  <si>
    <t xml:space="preserve">South Africa</t>
  </si>
  <si>
    <t xml:space="preserve">Equatorial Guinea</t>
  </si>
  <si>
    <t xml:space="preserve">Gabon</t>
  </si>
  <si>
    <t xml:space="preserve">Ghana</t>
  </si>
  <si>
    <t xml:space="preserve">The final was played at Soccer City in Soweto. The title ended a 19-year wait for Nigeria's third AFCON crown.</t>
  </si>
  <si>
    <t xml:space="preserve">SPT-0009</t>
  </si>
  <si>
    <t xml:space="preserve">Clemens Westerhof, who took Nigeria to its first World Cup, came from which country?</t>
  </si>
  <si>
    <t xml:space="preserve">Netherlands</t>
  </si>
  <si>
    <t xml:space="preserve">Germany</t>
  </si>
  <si>
    <t xml:space="preserve">Belgium</t>
  </si>
  <si>
    <t xml:space="preserve">Denmark</t>
  </si>
  <si>
    <t xml:space="preserve">Before winning AFCON 1994, Westerhof's Nigeria finished second in 1990 and third in 1992.</t>
  </si>
  <si>
    <t xml:space="preserve">https://sportsvillagesquare.com/2020/05/02/ex-super-eagles-manager-clemens-westerhof-clocks-80</t>
  </si>
  <si>
    <t xml:space="preserve">Sports Village Square — Clemens Westerhof clocks 80</t>
  </si>
  <si>
    <t xml:space="preserve">SPT-0010</t>
  </si>
  <si>
    <t xml:space="preserve">Which brand made Nigeria's 2018 World Cup kit that sold out within minutes of release?</t>
  </si>
  <si>
    <t xml:space="preserve">Nike</t>
  </si>
  <si>
    <t xml:space="preserve">Adidas</t>
  </si>
  <si>
    <t xml:space="preserve">Puma</t>
  </si>
  <si>
    <t xml:space="preserve">Umbro</t>
  </si>
  <si>
    <t xml:space="preserve">It went on sale on 1 June 2018; Nike UK said all three Nigeria jerseys had sold out, with no plans to restock.</t>
  </si>
  <si>
    <t xml:space="preserve">https://www.thescore.com/news/1552695</t>
  </si>
  <si>
    <t xml:space="preserve">theScore — Nigeria's World Cup kit sells out in minutes</t>
  </si>
  <si>
    <t xml:space="preserve">SPT-0011</t>
  </si>
  <si>
    <t xml:space="preserve">Former Super Eagles captain and coach Stephen Keshi was affectionately called what?</t>
  </si>
  <si>
    <t xml:space="preserve">Mathematical</t>
  </si>
  <si>
    <t xml:space="preserve">As a coach, Keshi also led Togo to their first-ever World Cup qualification, for the 2006 finals.</t>
  </si>
  <si>
    <t xml:space="preserve">https://www.aljazeera.com/sports/2018/1/23/stephen-keshi-why-google-honours-him-today</t>
  </si>
  <si>
    <t xml:space="preserve">Al Jazeera — Stephen Keshi: why Google honours him</t>
  </si>
  <si>
    <t xml:space="preserve">SPT-0012</t>
  </si>
  <si>
    <t xml:space="preserve">Who scored the only goal of the 2013 AFCON final against Burkina Faso?</t>
  </si>
  <si>
    <t xml:space="preserve">Sunday Mba</t>
  </si>
  <si>
    <t xml:space="preserve">Emmanuel Emenike</t>
  </si>
  <si>
    <t xml:space="preserve">Victor Moses</t>
  </si>
  <si>
    <t xml:space="preserve">Ikechukwu Uche</t>
  </si>
  <si>
    <t xml:space="preserve">Mba flicked the ball over a defender and fired in a left-foot shot on 40 minutes at Soccer City, Soweto.</t>
  </si>
  <si>
    <t xml:space="preserve">SPT-0013</t>
  </si>
  <si>
    <t xml:space="preserve">Nigeria beat which team in the final of the 1994 Africa Cup of Nations?</t>
  </si>
  <si>
    <t xml:space="preserve">Zambia</t>
  </si>
  <si>
    <t xml:space="preserve">Ivory Coast</t>
  </si>
  <si>
    <t xml:space="preserve">Mali</t>
  </si>
  <si>
    <t xml:space="preserve">Egypt</t>
  </si>
  <si>
    <t xml:space="preserve">Emmanuel Amuneke came off the bench for the final in Tunisia and scored both of Nigeria's goals.</t>
  </si>
  <si>
    <t xml:space="preserve">https://www.thisdaylive.com/2022/10/01/emmanuel-amuneke-mission-to-zambia/</t>
  </si>
  <si>
    <t xml:space="preserve">ThisDay — Emmanuel Amuneke: Mission to Zambia</t>
  </si>
  <si>
    <t xml:space="preserve">SPT-0014</t>
  </si>
  <si>
    <t xml:space="preserve">Whose long-range strike gave Nigeria a 3–2 win over Spain at the 1998 World Cup?</t>
  </si>
  <si>
    <t xml:space="preserve">Sunday Oliseh</t>
  </si>
  <si>
    <t xml:space="preserve">Garba Lawal</t>
  </si>
  <si>
    <t xml:space="preserve">Mutiu Adepoju</t>
  </si>
  <si>
    <t xml:space="preserve">Victor Ikpeba</t>
  </si>
  <si>
    <t xml:space="preserve">The win in Nantes helped Nigeria top a group that also included Bulgaria and Paraguay.</t>
  </si>
  <si>
    <t xml:space="preserve">https://www.planetfootball.com/nostalgia/jay-jay-okocha-nigeria-1998-world-cup-france-spain-skilla-assists</t>
  </si>
  <si>
    <t xml:space="preserve">Planet Football — Nigeria at the 1998 World Cup</t>
  </si>
  <si>
    <t xml:space="preserve">SPT-0015</t>
  </si>
  <si>
    <t xml:space="preserve">Which country knocked Nigeria out in the round of 16 at their World Cup debut?</t>
  </si>
  <si>
    <t xml:space="preserve">Italy</t>
  </si>
  <si>
    <t xml:space="preserve">Argentina</t>
  </si>
  <si>
    <t xml:space="preserve">Brazil</t>
  </si>
  <si>
    <t xml:space="preserve">Bulgaria</t>
  </si>
  <si>
    <t xml:space="preserve">Amuneke put Nigeria ahead, but Roberto Baggio equalised in the 88th minute and won it with an extra-time penalty.</t>
  </si>
  <si>
    <t xml:space="preserve">SPT-0016</t>
  </si>
  <si>
    <t xml:space="preserve">Which team beat Nigeria 2–0 in the round of 16 at the 2014 World Cup?</t>
  </si>
  <si>
    <t xml:space="preserve">France</t>
  </si>
  <si>
    <t xml:space="preserve">The match was in Brasília. Paul Pogba's 79th-minute header broke the deadlock, and a stoppage-time goal sealed it.</t>
  </si>
  <si>
    <t xml:space="preserve">https://www.cbsnews.com/amp/news/world-cup-2014-france-wins-a-deceptively-close-2-0-game-against-nigeria</t>
  </si>
  <si>
    <t xml:space="preserve">CBS News — France beat Nigeria 2-0 (2014 World Cup)</t>
  </si>
  <si>
    <t xml:space="preserve">SPT-0017</t>
  </si>
  <si>
    <t xml:space="preserve">What is Jay-Jay Okocha's real first name?</t>
  </si>
  <si>
    <t xml:space="preserve">Augustine</t>
  </si>
  <si>
    <t xml:space="preserve">Emmanuel</t>
  </si>
  <si>
    <t xml:space="preserve">Sunday</t>
  </si>
  <si>
    <t xml:space="preserve">Daniel</t>
  </si>
  <si>
    <t xml:space="preserve">Okocha won 73 caps for Nigeria between 1993 and 2006 and was in the squad that won AFCON 1994.</t>
  </si>
  <si>
    <t xml:space="preserve">SPT-0018</t>
  </si>
  <si>
    <t xml:space="preserve">Which Nigerian was named Player of the Tournament at AFCON 2023?</t>
  </si>
  <si>
    <t xml:space="preserve">William Troost-Ekong</t>
  </si>
  <si>
    <t xml:space="preserve">Ademola Lookman</t>
  </si>
  <si>
    <t xml:space="preserve">Victor Osimhen</t>
  </si>
  <si>
    <t xml:space="preserve">Ola Aina</t>
  </si>
  <si>
    <t xml:space="preserve">Nigeria finished runners-up to hosts Côte d'Ivoire, but their captain still won CAF's TotalEnergies Best Player award.</t>
  </si>
  <si>
    <t xml:space="preserve">https://www.cafonline.com/caf-africa-cup-of-nations/news/totalenergies-caf-afcon-cote-d-ivoire-2023-awards/</t>
  </si>
  <si>
    <t xml:space="preserve">CAF — AFCON Côte d'Ivoire 2023 awards</t>
  </si>
  <si>
    <t xml:space="preserve">SPT-0019</t>
  </si>
  <si>
    <t xml:space="preserve">closest_number</t>
  </si>
  <si>
    <t xml:space="preserve">As of October 2026, how many FIFA World Cups have Nigeria's senior men played at?</t>
  </si>
  <si>
    <t xml:space="preserve">6</t>
  </si>
  <si>
    <t xml:space="preserve">Nigeria missed out on 2026 after losing a November 2025 playoff final to DR Congo on penalties in Rabat.</t>
  </si>
  <si>
    <t xml:space="preserve">2027-10-31</t>
  </si>
  <si>
    <t xml:space="preserve">https://www.aljazeera.com/sports/2025/11/16/dr-congo-shock-nigeria-on-penalties-to-win-african-world-cup-playoffs</t>
  </si>
  <si>
    <t xml:space="preserve">Al Jazeera — DR Congo beat Nigeria on penalties (Nov 2025)</t>
  </si>
  <si>
    <t xml:space="preserve">SPT-0020</t>
  </si>
  <si>
    <t xml:space="preserve">As of October 2026, which player holds the record for the most Super Eagles caps?</t>
  </si>
  <si>
    <t xml:space="preserve">Ahmed Musa</t>
  </si>
  <si>
    <t xml:space="preserve">Vincent Enyeama</t>
  </si>
  <si>
    <t xml:space="preserve">Joseph Yobo</t>
  </si>
  <si>
    <t xml:space="preserve">Mikel John Obi</t>
  </si>
  <si>
    <t xml:space="preserve">Musa retired from international football in December 2025 and was part of the 2013 AFCON-winning squad.</t>
  </si>
  <si>
    <t xml:space="preserve">https://www.arise.tv/nff-salutes-ahmed-musas-legacy-as-nigerias-most-capped-player-retires/</t>
  </si>
  <si>
    <t xml:space="preserve">Arise News — NFF salutes Ahmed Musa's legacy (Dec 2025)</t>
  </si>
  <si>
    <t xml:space="preserve">Check before approving: Moses Simon and Alex Iwobi are close to Ahmed Musa's caps record and could pass him; sources differ on Musa's total (110 or 111).</t>
  </si>
  <si>
    <t xml:space="preserve">SPT-0021</t>
  </si>
  <si>
    <t xml:space="preserve">Winger Segun Odegbami, a hero of Nigeria's first AFCON win, had which nickname?</t>
  </si>
  <si>
    <t xml:space="preserve">Odegbami scored twice in the 3–0 final win over Algeria; the nickname reflects the precision of his dribbling.</t>
  </si>
  <si>
    <t xml:space="preserve">SPT-0022</t>
  </si>
  <si>
    <t xml:space="preserve">Who captained Nigeria to their first Africa Cup of Nations title?</t>
  </si>
  <si>
    <t xml:space="preserve">Christian Chukwu</t>
  </si>
  <si>
    <t xml:space="preserve">Segun Odegbami</t>
  </si>
  <si>
    <t xml:space="preserve">Muda Lawal</t>
  </si>
  <si>
    <t xml:space="preserve">Best Ogedegbe</t>
  </si>
  <si>
    <t xml:space="preserve">Fondly called "Chairman", Chukwu later coached the Super Eagles to third place at AFCON 2004 in Tunisia.</t>
  </si>
  <si>
    <t xml:space="preserve">https://nannews.ng/nigeria-lost-a-true-icon-in-chukwu-nsc-d-g/</t>
  </si>
  <si>
    <t xml:space="preserve">NAN — Nigeria lost a true icon in Chukwu</t>
  </si>
  <si>
    <t xml:space="preserve">SPT-0023</t>
  </si>
  <si>
    <t xml:space="preserve">Who was the first Super Eagles player to reach 100 international caps?</t>
  </si>
  <si>
    <t xml:space="preserve">Nwankwo Kanu</t>
  </si>
  <si>
    <t xml:space="preserve">Yobo's 100th cap came against France in the round of 16 of the 2014 World Cup.</t>
  </si>
  <si>
    <t xml:space="preserve">https://www.foxnews.com/sports/joseph-yobo-announces-international-retirement-after-scoring-own-goal-in-100th-cap-for-nigeria.amp</t>
  </si>
  <si>
    <t xml:space="preserve">Fox News/AP — Yobo's 100th cap for Nigeria (2014)</t>
  </si>
  <si>
    <t xml:space="preserve">SPT-0024</t>
  </si>
  <si>
    <t xml:space="preserve">Who became the first Nigerian to score at two different World Cups, in 2018?</t>
  </si>
  <si>
    <t xml:space="preserve">Odion Ighalo</t>
  </si>
  <si>
    <t xml:space="preserve">Kelechi Iheanacho</t>
  </si>
  <si>
    <t xml:space="preserve">His double against Iceland in Volgograd followed two goals against Argentina at the 2014 finals.</t>
  </si>
  <si>
    <t xml:space="preserve">https://www.beinsports.com/en-mena/articles-video/2018-fifa-world-cup-nigeria-beat-iceland-2-0-</t>
  </si>
  <si>
    <t xml:space="preserve">beIN Sports — Nigeria beat Iceland 2-0 (2018)</t>
  </si>
  <si>
    <t xml:space="preserve">SPT-0025</t>
  </si>
  <si>
    <t xml:space="preserve">As of October 2026, Nigeria's biggest-ever win, 10–0 in 2022, was against which team?</t>
  </si>
  <si>
    <t xml:space="preserve">São Tomé and Príncipe</t>
  </si>
  <si>
    <t xml:space="preserve">Seychelles</t>
  </si>
  <si>
    <t xml:space="preserve">Djibouti</t>
  </si>
  <si>
    <t xml:space="preserve">Mauritius</t>
  </si>
  <si>
    <t xml:space="preserve">Victor Osimhen scored four in Agadir. The old record was a 10–1 win over Dahomey (now Benin) in 1959.</t>
  </si>
  <si>
    <t xml:space="preserve">https://thewillnews.com/nigeria-register-biggest-ever-win-in-10-nil-thrashing-of-sao-tome/</t>
  </si>
  <si>
    <t xml:space="preserve">The Will — Nigeria's biggest-ever win, 10-0 v São Tomé</t>
  </si>
  <si>
    <t xml:space="preserve">SPT-0026</t>
  </si>
  <si>
    <t xml:space="preserve">How many goals did Rashidi Yekini score for Nigeria in his international career?</t>
  </si>
  <si>
    <t xml:space="preserve">37</t>
  </si>
  <si>
    <t xml:space="preserve">In 1993, Yekini became the first Nigerian to be named African Footballer of the Year.</t>
  </si>
  <si>
    <t xml:space="preserve">https://businessday.ng/news/article/rashidi-yekini-10-things-to-know-about-the-iconic-striker/</t>
  </si>
  <si>
    <t xml:space="preserve">BusinessDay — Rashidi Yekini: 10 things to know</t>
  </si>
  <si>
    <t xml:space="preserve">SPT-0027</t>
  </si>
  <si>
    <t xml:space="preserve">Who coached Nigeria at the 1998 World Cup in France?</t>
  </si>
  <si>
    <t xml:space="preserve">Bora Milutinović</t>
  </si>
  <si>
    <t xml:space="preserve">Jo Bonfrere</t>
  </si>
  <si>
    <t xml:space="preserve">Philippe Troussier</t>
  </si>
  <si>
    <t xml:space="preserve">He was appointed six months before the finals, having previously managed Mexico, Costa Rica and the USA.</t>
  </si>
  <si>
    <t xml:space="preserve">SPT-0028</t>
  </si>
  <si>
    <t xml:space="preserve">In 1949, Nigeria's pioneering footballers toured which country, often playing barefoot?</t>
  </si>
  <si>
    <t xml:space="preserve">United Kingdom</t>
  </si>
  <si>
    <t xml:space="preserve">Portugal</t>
  </si>
  <si>
    <t xml:space="preserve">The 18-man squad sailed on the MV Apapa, then beat Sierra Leone 2–0 in Freetown on the way home in October 1949.</t>
  </si>
  <si>
    <t xml:space="preserve">https://sportsvillagesquare.com/2019/08/15/nigeria-burkina-faso-african-games-match-marks-70-years-since-uk-tourists-ventured-out/</t>
  </si>
  <si>
    <t xml:space="preserve">Sports Village Square — 70 years since the UK Tourists</t>
  </si>
  <si>
    <t xml:space="preserve">SPT-0029</t>
  </si>
  <si>
    <t xml:space="preserve">Who scored Nigeria's only goal of the 2002 World Cup?</t>
  </si>
  <si>
    <t xml:space="preserve">Julius Aghahowa</t>
  </si>
  <si>
    <t xml:space="preserve">Jay-Jay Okocha</t>
  </si>
  <si>
    <t xml:space="preserve">Bartholomew Ogbeche</t>
  </si>
  <si>
    <t xml:space="preserve">His header against Sweden came from a Joseph Yobo cross, and he celebrated with his trademark backflips.</t>
  </si>
  <si>
    <t xml:space="preserve">https://soccernet.ng/2016/02/julius-aghahowa-5-things-super-eagles.html</t>
  </si>
  <si>
    <t xml:space="preserve">Soccernet.ng — Julius Aghahowa: 5 things</t>
  </si>
  <si>
    <t xml:space="preserve">SPT-0030</t>
  </si>
  <si>
    <t xml:space="preserve">As of October 2026, what is the highest FIFA ranking Nigeria's men have ever reached?</t>
  </si>
  <si>
    <t xml:space="preserve">5</t>
  </si>
  <si>
    <t xml:space="preserve">The Super Eagles climbed to that position in April 1994, a few months before their first World Cup.</t>
  </si>
  <si>
    <t xml:space="preserve">https://soccernet.ng/2026/09/super-eagles-morocco-fifa-guinea-bissau.html</t>
  </si>
  <si>
    <t xml:space="preserve">Soccernet.ng — Nigeria's best FIFA ranking (Sep 2026)</t>
  </si>
  <si>
    <t xml:space="preserve">SPT-0031</t>
  </si>
  <si>
    <t xml:space="preserve">Which Nigerian, nicknamed the "Prince of Monaco", was African Footballer of the Year in 1997?</t>
  </si>
  <si>
    <t xml:space="preserve">Taribo West</t>
  </si>
  <si>
    <t xml:space="preserve">Celestine Babayaro</t>
  </si>
  <si>
    <t xml:space="preserve">A Nigerian reporter coined the nickname after he said he was "living like a prince" in Monaco.</t>
  </si>
  <si>
    <t xml:space="preserve">https://www.asmonaco.com/en/news/victor-ikpeba-certain-beat-my-record</t>
  </si>
  <si>
    <t xml:space="preserve">AS Monaco — Victor Ikpeba interview</t>
  </si>
  <si>
    <t xml:space="preserve">SPT-0032</t>
  </si>
  <si>
    <t xml:space="preserve">Which coach guided Nigeria to their first Africa Cup of Nations title?</t>
  </si>
  <si>
    <t xml:space="preserve">Otto Glória</t>
  </si>
  <si>
    <t xml:space="preserve">Manfred Höner</t>
  </si>
  <si>
    <t xml:space="preserve">Adegboye Onigbinde</t>
  </si>
  <si>
    <t xml:space="preserve">Tiko Jelisavčić</t>
  </si>
  <si>
    <t xml:space="preserve">The Brazilian had earlier guided Portugal to third place at the 1966 World Cup.</t>
  </si>
  <si>
    <t xml:space="preserve">Check the spelling of the three wrong options (former Nigeria coaches); they were not checked on the web.</t>
  </si>
  <si>
    <t xml:space="preserve">SPT-0401</t>
  </si>
  <si>
    <t xml:space="preserve">basketball</t>
  </si>
  <si>
    <t xml:space="preserve">Hakeem Olajuwon won back-to-back NBA titles in 1994 and 1995 with which team?</t>
  </si>
  <si>
    <t xml:space="preserve">Houston Rockets</t>
  </si>
  <si>
    <t xml:space="preserve">Chicago Bulls</t>
  </si>
  <si>
    <t xml:space="preserve">Los Angeles Lakers</t>
  </si>
  <si>
    <t xml:space="preserve">Boston Celtics</t>
  </si>
  <si>
    <t xml:space="preserve">He only took up basketball at 15, having played football as a goalkeeper and handball while growing up in Nigeria.</t>
  </si>
  <si>
    <t xml:space="preserve">SW</t>
  </si>
  <si>
    <t xml:space="preserve">https://www.nba.com/news/history-nba-legend-hakeem-olajuwon</t>
  </si>
  <si>
    <t xml:space="preserve">NBA.com: 75 Stories – Hakeem Olajuwon</t>
  </si>
  <si>
    <t xml:space="preserve">SPT-0402</t>
  </si>
  <si>
    <t xml:space="preserve">traditional-sports</t>
  </si>
  <si>
    <t xml:space="preserve">Which traditional ruler is the central figure in the Kano Durbar's grand parade of horsemen?</t>
  </si>
  <si>
    <t xml:space="preserve">The Emir</t>
  </si>
  <si>
    <t xml:space="preserve">The Oba</t>
  </si>
  <si>
    <t xml:space="preserve">The Obi</t>
  </si>
  <si>
    <t xml:space="preserve">The Amanyanabo</t>
  </si>
  <si>
    <t xml:space="preserve">The Durbar is held at both Eid celebrations, and UNESCO added it to its intangible cultural heritage list in December 2024.</t>
  </si>
  <si>
    <t xml:space="preserve">N</t>
  </si>
  <si>
    <t xml:space="preserve">https://www.enca.com/lifestyle/eid-festivities-north-nigeria-make-unesco-heritage-list</t>
  </si>
  <si>
    <t xml:space="preserve">eNCA: Eid festivities in north Nigeria make UNESCO heritage list</t>
  </si>
  <si>
    <t xml:space="preserve">SPT-0403</t>
  </si>
  <si>
    <t xml:space="preserve">The Argungu Fishing Festival, where fishermen compete with nets and calabashes, is held in which state?</t>
  </si>
  <si>
    <t xml:space="preserve">Kebbi</t>
  </si>
  <si>
    <t xml:space="preserve">Sokoto</t>
  </si>
  <si>
    <t xml:space="preserve">Niger</t>
  </si>
  <si>
    <t xml:space="preserve">Kwara</t>
  </si>
  <si>
    <t xml:space="preserve">First held in 1934, its February 2026 edition was won with a 59 kg croaker pulled from the Matan Fada river.</t>
  </si>
  <si>
    <t xml:space="preserve">https://www.aljazeera.com/gallery/2026/2/15/nigerias-argungu-fishing-contest-marks-return-after-years-of-pause</t>
  </si>
  <si>
    <t xml:space="preserve">Al Jazeera: Argungu fishing contest returns</t>
  </si>
  <si>
    <t xml:space="preserve">SPT-0404</t>
  </si>
  <si>
    <t xml:space="preserve">mma</t>
  </si>
  <si>
    <t xml:space="preserve">Kamaru Usman and Israel Adesanya both won world titles in which mixed martial arts promotion?</t>
  </si>
  <si>
    <t xml:space="preserve">UFC</t>
  </si>
  <si>
    <t xml:space="preserve">Bellator</t>
  </si>
  <si>
    <t xml:space="preserve">ONE Championship</t>
  </si>
  <si>
    <t xml:space="preserve">PFL</t>
  </si>
  <si>
    <t xml:space="preserve">In 2019 Usman beat Tyron Woodley for the welterweight belt, becoming the first African-born UFC champion.</t>
  </si>
  <si>
    <t xml:space="preserve">https://www.africanews.com/amp/2021/04/26/african-born-champions-take-over-ufc-by-storm/</t>
  </si>
  <si>
    <t xml:space="preserve">Africanews: African-born champions take over UFC</t>
  </si>
  <si>
    <t xml:space="preserve">SPT-0405</t>
  </si>
  <si>
    <t xml:space="preserve">chess-and-scrabble</t>
  </si>
  <si>
    <t xml:space="preserve">In 2015, Wellington Jighere became the first African world champion in which board game?</t>
  </si>
  <si>
    <t xml:space="preserve">Scrabble</t>
  </si>
  <si>
    <t xml:space="preserve">Chess</t>
  </si>
  <si>
    <t xml:space="preserve">Draughts</t>
  </si>
  <si>
    <t xml:space="preserve">Ayo</t>
  </si>
  <si>
    <t xml:space="preserve">He swept England's Lewis Mackay 4–0 in the best-of-seven final in Perth, Australia.</t>
  </si>
  <si>
    <t xml:space="preserve">SS</t>
  </si>
  <si>
    <t xml:space="preserve">https://en.wikipedia.org/wiki/World_Scrabble_Championship_2015</t>
  </si>
  <si>
    <t xml:space="preserve">Wikipedia: World Scrabble Championship 2015</t>
  </si>
  <si>
    <t xml:space="preserve">SPT-0406</t>
  </si>
  <si>
    <t xml:space="preserve">Lagos-born UFC star Israel Adesanya fights under which nickname?</t>
  </si>
  <si>
    <t xml:space="preserve">The Last Stylebender</t>
  </si>
  <si>
    <t xml:space="preserve">The Predator</t>
  </si>
  <si>
    <t xml:space="preserve">The Black Beast</t>
  </si>
  <si>
    <t xml:space="preserve">Bones</t>
  </si>
  <si>
    <t xml:space="preserve">He became undisputed middleweight champion by knocking out Robert Whittaker at UFC 243 in October 2019.</t>
  </si>
  <si>
    <t xml:space="preserve">https://www.ufc.com/athlete/israel-adesanya</t>
  </si>
  <si>
    <t xml:space="preserve">UFC.com: Israel Adesanya athlete profile</t>
  </si>
  <si>
    <t xml:space="preserve">SPT-0407</t>
  </si>
  <si>
    <t xml:space="preserve">Auchi-born UFC fighter Kamaru Usman is known by which nickname?</t>
  </si>
  <si>
    <t xml:space="preserve">The Nigerian Nightmare</t>
  </si>
  <si>
    <t xml:space="preserve">Rocky</t>
  </si>
  <si>
    <t xml:space="preserve">Before MMA he was a 2010 NCAA Division II national wrestling champion at the University of Nebraska at Kearney.</t>
  </si>
  <si>
    <t xml:space="preserve">https://www.ufc.com/athlete/kamaru-usman</t>
  </si>
  <si>
    <t xml:space="preserve">UFC.com: Kamaru Usman athlete profile</t>
  </si>
  <si>
    <t xml:space="preserve">SPT-0408</t>
  </si>
  <si>
    <t xml:space="preserve">NBA star Giannis Antetokounmpo's family surname, from his Nigerian parents, was originally spelt how?</t>
  </si>
  <si>
    <t xml:space="preserve">Adetokunbo</t>
  </si>
  <si>
    <t xml:space="preserve">Adekunle</t>
  </si>
  <si>
    <t xml:space="preserve">Adeyemi</t>
  </si>
  <si>
    <t xml:space="preserve">Adebayo</t>
  </si>
  <si>
    <t xml:space="preserve">His parents moved from Lagos to Greece in 1991; the spelling on his Greek passport turned Adetokunbo into Antetokounmpo.</t>
  </si>
  <si>
    <t xml:space="preserve">https://andscape.com/features/bucks-giannis-antetokounmpo-greek-freak-wants-to-go-back-to-his-nigerian-roots</t>
  </si>
  <si>
    <t xml:space="preserve">Andscape: Giannis wants to go back to his Nigerian roots</t>
  </si>
  <si>
    <t xml:space="preserve">SPT-0409</t>
  </si>
  <si>
    <t xml:space="preserve">Chess champion Tunde Onakoya founded which initiative that teaches chess to children in places like Makoko?</t>
  </si>
  <si>
    <t xml:space="preserve">Chess in Slums Africa</t>
  </si>
  <si>
    <t xml:space="preserve">Giants of Africa</t>
  </si>
  <si>
    <t xml:space="preserve">Knights of Lagos</t>
  </si>
  <si>
    <t xml:space="preserve">Pawns to Kings</t>
  </si>
  <si>
    <t xml:space="preserve">Its sessions pair chess lessons with literacy and numeracy for children in underserved communities.</t>
  </si>
  <si>
    <t xml:space="preserve">https://www.icirnigeria.org/tunde-onakoya-sets-new-gwr-with-64-hour-chess-marathon-in-new-york/</t>
  </si>
  <si>
    <t xml:space="preserve">ICIR: Onakoya sets new GWR with 64-hour chess marathon</t>
  </si>
  <si>
    <t xml:space="preserve">Two wrong options are invented names; confirm no real group uses them.</t>
  </si>
  <si>
    <t xml:space="preserve">SPT-0410</t>
  </si>
  <si>
    <t xml:space="preserve">other-sports</t>
  </si>
  <si>
    <t xml:space="preserve">At PyeongChang 2018, Seun Adigun led Africa's first-ever Olympic team in which winter sport?</t>
  </si>
  <si>
    <t xml:space="preserve">Bobsleigh</t>
  </si>
  <si>
    <t xml:space="preserve">Curling</t>
  </si>
  <si>
    <t xml:space="preserve">Ice hockey</t>
  </si>
  <si>
    <t xml:space="preserve">Biathlon</t>
  </si>
  <si>
    <t xml:space="preserve">Brakewoman Akuoma Omeoga was in her crew, and a Nigerian skeleton athlete also raced on the same track at those Games.</t>
  </si>
  <si>
    <t xml:space="preserve">https://www.boston.com/sports/olympics/2018/02/20/nigeria-savors-its-olympic-bobsled-debut-moment/</t>
  </si>
  <si>
    <t xml:space="preserve">Boston.com: Nigeria savors its Olympic bobsled debut</t>
  </si>
  <si>
    <t xml:space="preserve">SPT-0411</t>
  </si>
  <si>
    <t xml:space="preserve">Chika Chukwumerije won Olympic bronze for Nigeria at Beijing 2008 in which sport?</t>
  </si>
  <si>
    <t xml:space="preserve">Taekwondo</t>
  </si>
  <si>
    <t xml:space="preserve">Judo</t>
  </si>
  <si>
    <t xml:space="preserve">Boxing</t>
  </si>
  <si>
    <t xml:space="preserve">Wrestling</t>
  </si>
  <si>
    <t xml:space="preserve">He won the +80 kg bronze through the repechage, a year after taking African Games gold in Algiers.</t>
  </si>
  <si>
    <t xml:space="preserve">https://en.wikipedia.org/wiki/Chika_Chukwumerije</t>
  </si>
  <si>
    <t xml:space="preserve">Wikipedia: Chika Chukwumerije</t>
  </si>
  <si>
    <t xml:space="preserve">Region set to ALL because the source does not give a home state.</t>
  </si>
  <si>
    <t xml:space="preserve">SPT-0412</t>
  </si>
  <si>
    <t xml:space="preserve">boxing</t>
  </si>
  <si>
    <t xml:space="preserve">Boxing great Dick Tiger, a world champion at two weights, was born in Amaigbo in which present-day state?</t>
  </si>
  <si>
    <t xml:space="preserve">Imo</t>
  </si>
  <si>
    <t xml:space="preserve">Anambra</t>
  </si>
  <si>
    <t xml:space="preserve">Abia</t>
  </si>
  <si>
    <t xml:space="preserve">Enugu</t>
  </si>
  <si>
    <t xml:space="preserve">In 1963 he beat Gene Fullmer at Liberty Stadium, Ibadan, the first world title fight held on African soil.</t>
  </si>
  <si>
    <t xml:space="preserve">SE</t>
  </si>
  <si>
    <t xml:space="preserve">https://en.wikipedia.org/wiki/Dick_Tiger</t>
  </si>
  <si>
    <t xml:space="preserve">Wikipedia: Dick Tiger</t>
  </si>
  <si>
    <t xml:space="preserve">SPT-0413</t>
  </si>
  <si>
    <t xml:space="preserve">Hogan 'Kid' Bassey, Nigeria's first world boxing champion, won his title in which weight class?</t>
  </si>
  <si>
    <t xml:space="preserve">Featherweight</t>
  </si>
  <si>
    <t xml:space="preserve">Bantamweight</t>
  </si>
  <si>
    <t xml:space="preserve">Lightweight</t>
  </si>
  <si>
    <t xml:space="preserve">Middleweight</t>
  </si>
  <si>
    <t xml:space="preserve">Born Okon Asuquo Bassey in Creek Town, Calabar, he won the title by stopping Cherif Hamia in Paris in June 1957.</t>
  </si>
  <si>
    <t xml:space="preserve">https://en.wikipedia.org/wiki/Hogan_Bassey</t>
  </si>
  <si>
    <t xml:space="preserve">Wikipedia: Hogan Bassey</t>
  </si>
  <si>
    <t xml:space="preserve">SPT-0414</t>
  </si>
  <si>
    <t xml:space="preserve">The parents of British boxer Anthony Joshua, of Nigerian heritage, both grew up in which Ogun State town?</t>
  </si>
  <si>
    <t xml:space="preserve">Sagamu</t>
  </si>
  <si>
    <t xml:space="preserve">Abeokuta</t>
  </si>
  <si>
    <t xml:space="preserve">Ijebu-Ode</t>
  </si>
  <si>
    <t xml:space="preserve">Ilaro</t>
  </si>
  <si>
    <t xml:space="preserve">As a boy he boarded at Mayflower School in Ikenne, and he later won super-heavyweight gold at the London 2012 Olympics.</t>
  </si>
  <si>
    <t xml:space="preserve">https://en.wikipedia.org/wiki/Anthony_Joshua</t>
  </si>
  <si>
    <t xml:space="preserve">Wikipedia: Anthony Joshua</t>
  </si>
  <si>
    <t xml:space="preserve">SPT-0415</t>
  </si>
  <si>
    <t xml:space="preserve">Masai Ujiri, who grew up in Zaria, founded which basketball development programme in 2003?</t>
  </si>
  <si>
    <t xml:space="preserve">Hoops for Africa</t>
  </si>
  <si>
    <t xml:space="preserve">Lions of the Court</t>
  </si>
  <si>
    <t xml:space="preserve">Africa Dream Camp</t>
  </si>
  <si>
    <t xml:space="preserve">As president of the Toronto Raptors, he oversaw the franchise's first NBA title in 2019.</t>
  </si>
  <si>
    <t xml:space="preserve">https://en.wikipedia.org/wiki/Masai_Ujiri</t>
  </si>
  <si>
    <t xml:space="preserve">Wikipedia: Masai Ujiri</t>
  </si>
  <si>
    <t xml:space="preserve">Wrong options are invented names; confirm no real organisation uses them.</t>
  </si>
  <si>
    <t xml:space="preserve">SPT-0416</t>
  </si>
  <si>
    <t xml:space="preserve">Which club represented Nigeria in the first Basketball Africa League season in 2021?</t>
  </si>
  <si>
    <t xml:space="preserve">Rivers Hoopers</t>
  </si>
  <si>
    <t xml:space="preserve">Kwara Falcons</t>
  </si>
  <si>
    <t xml:space="preserve">Gombe Bulls</t>
  </si>
  <si>
    <t xml:space="preserve">Ebun Comets</t>
  </si>
  <si>
    <t xml:space="preserve">The whole 12-team season was played at Kigali Arena in Rwanda, and Egypt's Zamalek were crowned champions.</t>
  </si>
  <si>
    <t xml:space="preserve">https://en.wikipedia.org/wiki/2021_BAL_season</t>
  </si>
  <si>
    <t xml:space="preserve">Wikipedia: 2021 BAL season</t>
  </si>
  <si>
    <t xml:space="preserve">SPT-0417</t>
  </si>
  <si>
    <t xml:space="preserve">In dambe, the traditional Hausa combat sport, what is the wrapped striking fist called?</t>
  </si>
  <si>
    <t xml:space="preserve">The spear</t>
  </si>
  <si>
    <t xml:space="preserve">The shield</t>
  </si>
  <si>
    <t xml:space="preserve">The hammer</t>
  </si>
  <si>
    <t xml:space="preserve">The arrow</t>
  </si>
  <si>
    <t xml:space="preserve">The open guard hand is called the shield, and a bout usually runs over three rounds with no fixed time limit.</t>
  </si>
  <si>
    <t xml:space="preserve">https://en.wikipedia.org/wiki/Dambe</t>
  </si>
  <si>
    <t xml:space="preserve">Wikipedia: Dambe</t>
  </si>
  <si>
    <t xml:space="preserve">SPT-0418</t>
  </si>
  <si>
    <t xml:space="preserve">What is the Hausa name for traditional wrestling in northern Nigeria and Niger?</t>
  </si>
  <si>
    <t xml:space="preserve">Kokawa</t>
  </si>
  <si>
    <t xml:space="preserve">Mgba</t>
  </si>
  <si>
    <t xml:space="preserve">Ijakadi</t>
  </si>
  <si>
    <t xml:space="preserve">Gidigbo</t>
  </si>
  <si>
    <t xml:space="preserve">Dambe's striking side was split off from it, and both are still performed in the same traditional ring.</t>
  </si>
  <si>
    <t xml:space="preserve">https://en.wikipedia.org/wiki/Lutte_Traditionnelle</t>
  </si>
  <si>
    <t xml:space="preserve">Wikipedia: Lutte Traditionnelle</t>
  </si>
  <si>
    <t xml:space="preserve">SPT-0419</t>
  </si>
  <si>
    <t xml:space="preserve">wrestling</t>
  </si>
  <si>
    <t xml:space="preserve">Who won Nigeria's first Olympic medal in wrestling, a silver at Tokyo 2020?</t>
  </si>
  <si>
    <t xml:space="preserve">Blessing Oborududu</t>
  </si>
  <si>
    <t xml:space="preserve">Odunayo Adekuoroye</t>
  </si>
  <si>
    <t xml:space="preserve">Mercy Genesis</t>
  </si>
  <si>
    <t xml:space="preserve">Aminat Adeniyi</t>
  </si>
  <si>
    <t xml:space="preserve">She took silver in the women's 68 kg, losing the final to American Tamyra Mensah-Stock.</t>
  </si>
  <si>
    <t xml:space="preserve">https://en.wikipedia.org/wiki/Blessing_Oborududu</t>
  </si>
  <si>
    <t xml:space="preserve">Wikipedia: Blessing Oborududu</t>
  </si>
  <si>
    <t xml:space="preserve">Two wrong options (Mercy Genesis, Aminat Adeniyi) were named without a web check; confirm spelling.</t>
  </si>
  <si>
    <t xml:space="preserve">SPT-0420</t>
  </si>
  <si>
    <t xml:space="preserve">Bayelsa-born wrestler Daniel Igali won Olympic gold at Sydney 2000 representing which country?</t>
  </si>
  <si>
    <t xml:space="preserve">Canada</t>
  </si>
  <si>
    <t xml:space="preserve">Nigeria</t>
  </si>
  <si>
    <t xml:space="preserve">United States</t>
  </si>
  <si>
    <t xml:space="preserve">Great Britain</t>
  </si>
  <si>
    <t xml:space="preserve">He also won the 1999 world title at 69 kg and was later elected president of the Nigeria Wrestling Federation.</t>
  </si>
  <si>
    <t xml:space="preserve">https://en.wikipedia.org/wiki/Daniel_Igali</t>
  </si>
  <si>
    <t xml:space="preserve">Wikipedia: Daniel Igali</t>
  </si>
  <si>
    <t xml:space="preserve">SPT-0421</t>
  </si>
  <si>
    <t xml:space="preserve">In April 2025, Tunde Onakoya set the Guinness World Record for the longest chess marathon. How many hours?</t>
  </si>
  <si>
    <t xml:space="preserve">64</t>
  </si>
  <si>
    <t xml:space="preserve">Played with Shawn Martinez in New York's Times Square, the marathon ran to 473 games of chess.</t>
  </si>
  <si>
    <t xml:space="preserve">https://www.guinnessworldrecords.com/world-records/longest-chess-marathon</t>
  </si>
  <si>
    <t xml:space="preserve">Guinness World Records: Longest chess marathon</t>
  </si>
  <si>
    <t xml:space="preserve">Guinness record is 64 hours (April 2025), not the 2024 Times Square attempt.</t>
  </si>
  <si>
    <t xml:space="preserve">SPT-0422</t>
  </si>
  <si>
    <t xml:space="preserve">Boxing greats Dick Tiger and Hogan 'Kid' Bassey both launched their pro careers from which English city?</t>
  </si>
  <si>
    <t xml:space="preserve">Liverpool</t>
  </si>
  <si>
    <t xml:space="preserve">Manchester</t>
  </si>
  <si>
    <t xml:space="preserve">London</t>
  </si>
  <si>
    <t xml:space="preserve">Birmingham</t>
  </si>
  <si>
    <t xml:space="preserve">Liverpool boxer-turned-manager Peter Banasko played a key role in launching both men's careers.</t>
  </si>
  <si>
    <t xml:space="preserve">https://www.liverpoolfootprint.co.uk/boxers</t>
  </si>
  <si>
    <t xml:space="preserve">Liverpool Footprint: Liverpool – The Boxing City</t>
  </si>
  <si>
    <t xml:space="preserve">SPT-0423</t>
  </si>
  <si>
    <t xml:space="preserve">Nigeria's D'Tigers qualified for the London 2012 Olympics at a qualifying tournament in which country?</t>
  </si>
  <si>
    <t xml:space="preserve">Venezuela</t>
  </si>
  <si>
    <t xml:space="preserve">Greece</t>
  </si>
  <si>
    <t xml:space="preserve">Lithuania</t>
  </si>
  <si>
    <t xml:space="preserve">Spain</t>
  </si>
  <si>
    <t xml:space="preserve">In Caracas they edged Greece 80–79 in the quarter-final, then beat the Dominican Republic to take the last Olympic place.</t>
  </si>
  <si>
    <t xml:space="preserve">https://en.wikipedia.org/wiki/2012_FIBA_World_Olympic_Qualifying_Tournament_for_Men</t>
  </si>
  <si>
    <t xml:space="preserve">Wikipedia: 2012 FIBA World Olympic Qualifying Tournament for Men</t>
  </si>
  <si>
    <t xml:space="preserve">SPT-0424</t>
  </si>
  <si>
    <t xml:space="preserve">table-tennis</t>
  </si>
  <si>
    <t xml:space="preserve">At Rio 2016, Quadri Aruna became Africa's first Olympic table tennis quarter-finalist by beating which German?</t>
  </si>
  <si>
    <t xml:space="preserve">Timo Boll</t>
  </si>
  <si>
    <t xml:space="preserve">Dimitrij Ovtcharov</t>
  </si>
  <si>
    <t xml:space="preserve">Patrick Franziska</t>
  </si>
  <si>
    <t xml:space="preserve">Dang Qiu</t>
  </si>
  <si>
    <t xml:space="preserve">The Oyo-born star also stunned fifth seed Chuang Chih-yuan 4–0 before Ma Long ended his run in the last eight.</t>
  </si>
  <si>
    <t xml:space="preserve">https://en.wikipedia.org/wiki/Quadri_Aruna</t>
  </si>
  <si>
    <t xml:space="preserve">Wikipedia: Quadri Aruna</t>
  </si>
  <si>
    <t xml:space="preserve">Source is Wikipedia (ITTF and Olympics.com pages would not load). Confirm the Timo Boll win on an ITTF page.</t>
  </si>
  <si>
    <t xml:space="preserve">SPT-0425</t>
  </si>
  <si>
    <t xml:space="preserve">Up to Tokyo 2020, how many Olympic Games had table tennis star Funke Oshonaike competed at?</t>
  </si>
  <si>
    <t xml:space="preserve">Seven</t>
  </si>
  <si>
    <t xml:space="preserve">Five</t>
  </si>
  <si>
    <t xml:space="preserve">Six</t>
  </si>
  <si>
    <t xml:space="preserve">Eight</t>
  </si>
  <si>
    <t xml:space="preserve">She carried Nigeria's flag at the Rio 2016 opening ceremony and partnered Bose Kaffo in Olympic doubles three times.</t>
  </si>
  <si>
    <t xml:space="preserve">https://www.olympedia.org/athletes/1014</t>
  </si>
  <si>
    <t xml:space="preserve">Olympedia: Funke Oshonaike</t>
  </si>
  <si>
    <t xml:space="preserve">SPT-0426</t>
  </si>
  <si>
    <t xml:space="preserve">Odunayo Adekuoroye won Commonwealth wrestling gold at Glasgow 2014, Gold Coast 2018 and which other Games?</t>
  </si>
  <si>
    <t xml:space="preserve">Birmingham 2022</t>
  </si>
  <si>
    <t xml:space="preserve">Delhi 2010</t>
  </si>
  <si>
    <t xml:space="preserve">Melbourne 2006</t>
  </si>
  <si>
    <t xml:space="preserve">Manchester 2002</t>
  </si>
  <si>
    <t xml:space="preserve">The Ondo-born wrestler also won world championship silver in Paris in 2017, plus three world bronzes.</t>
  </si>
  <si>
    <t xml:space="preserve">https://en.wikipedia.org/wiki/Odunayo_Adekuoroye</t>
  </si>
  <si>
    <t xml:space="preserve">Wikipedia: Odunayo Adekuoroye</t>
  </si>
  <si>
    <t xml:space="preserve">SPT-0427</t>
  </si>
  <si>
    <t xml:space="preserve">Ehugbo (Afikpo) in Ebonyi State is famous for which traditional wrestling festival?</t>
  </si>
  <si>
    <t xml:space="preserve">Dambe</t>
  </si>
  <si>
    <t xml:space="preserve">It is held every two years after the farming season, and the Nkpoghoro community is regarded as its originator.</t>
  </si>
  <si>
    <t xml:space="preserve">https://newtelegraphng.com/?p=444625</t>
  </si>
  <si>
    <t xml:space="preserve">New Telegraph: Wrestling – A Culture of Strength, Courage in Ehugbo</t>
  </si>
  <si>
    <t xml:space="preserve">SPT-0428</t>
  </si>
  <si>
    <t xml:space="preserve">Samuel Peter won the WBC heavyweight title in March 2008 by beating which champion in Cancún?</t>
  </si>
  <si>
    <t xml:space="preserve">Oleg Maskaev</t>
  </si>
  <si>
    <t xml:space="preserve">Vitali Klitschko</t>
  </si>
  <si>
    <t xml:space="preserve">Wladimir Klitschko</t>
  </si>
  <si>
    <t xml:space="preserve">Hasim Rahman</t>
  </si>
  <si>
    <t xml:space="preserve">He won by sixth-round stoppage; the Akwa Ibom-born puncher had earlier boxed for Nigeria at the Sydney 2000 Olympics.</t>
  </si>
  <si>
    <t xml:space="preserve">https://en.wikipedia.org/wiki/Samuel_Peter</t>
  </si>
  <si>
    <t xml:space="preserve">Wikipedia: Samuel Peter</t>
  </si>
  <si>
    <t xml:space="preserve">SPT-0429</t>
  </si>
  <si>
    <t xml:space="preserve">As of October 2026, how many FIBA Women's AfroBasket titles have Nigeria's D'Tigress won?</t>
  </si>
  <si>
    <t xml:space="preserve">7</t>
  </si>
  <si>
    <t xml:space="preserve">Their 2025 win over Mali in Abidjan made them the first team to win five Women's AfroBasket titles in a row.</t>
  </si>
  <si>
    <t xml:space="preserve">https://www.fiba.basketball/en/events/fiba-womens-afrobasket-qualifiers-2027/all-time-medalists-</t>
  </si>
  <si>
    <t xml:space="preserve">FIBA: Women's AfroBasket all-time medalists</t>
  </si>
  <si>
    <t xml:space="preserve">SPT-0430</t>
  </si>
  <si>
    <t xml:space="preserve">In what year did Nigeria's men's basketball team, D'Tigers, win their first AfroBasket title?</t>
  </si>
  <si>
    <t xml:space="preserve">2015</t>
  </si>
  <si>
    <t xml:space="preserve">They beat Angola 74–65 in the final in Radès, Tunisia, and Chamberlain Oguchi was named MVP.</t>
  </si>
  <si>
    <t xml:space="preserve">https://www.infobae.com/aroundtherings/federations/2021/07/12/nigeria-beat-angola-in-afrobasket-2015-final-to-win-first-ever-continental-title</t>
  </si>
  <si>
    <t xml:space="preserve">Around the Rings: Nigeria beat Angola in AfroBasket 2015 final</t>
  </si>
  <si>
    <t xml:space="preserve">SPT-0431</t>
  </si>
  <si>
    <t xml:space="preserve">Lagos-born Nduka Odizor reached the fourth round of which Grand Slam tennis event in 1983?</t>
  </si>
  <si>
    <t xml:space="preserve">Wimbledon</t>
  </si>
  <si>
    <t xml:space="preserve">US Open</t>
  </si>
  <si>
    <t xml:space="preserve">French Open</t>
  </si>
  <si>
    <t xml:space="preserve">Australian Open</t>
  </si>
  <si>
    <t xml:space="preserve">He peaked at world No. 52 in singles in 1984 and won seven ATP doubles titles.</t>
  </si>
  <si>
    <t xml:space="preserve">https://www.olympedia.org/athletes/1023</t>
  </si>
  <si>
    <t xml:space="preserve">Olympedia: Nduka Odizor</t>
  </si>
  <si>
    <t xml:space="preserve">SPT-0432</t>
  </si>
  <si>
    <t xml:space="preserve">Who won Team Nigeria's first gold medal at the Birmingham 2022 Commonwealth Games?</t>
  </si>
  <si>
    <t xml:space="preserve">Adijat Olarinoye</t>
  </si>
  <si>
    <t xml:space="preserve">Tobi Amusan</t>
  </si>
  <si>
    <t xml:space="preserve">Ese Brume</t>
  </si>
  <si>
    <t xml:space="preserve">Lifting in the 55 kg class, she totalled a Games-record 203 kg: 92 kg in the snatch and 111 kg in the clean and jerk.</t>
  </si>
  <si>
    <t xml:space="preserve">https://thisdaylive.com/index.php/2022/07/30/birmingham-2022-olarinoye-wins-nigerias-first-gold-medal</t>
  </si>
  <si>
    <t xml:space="preserve">ThisDay: Olarinoye wins Nigeria's first gold medal</t>
  </si>
  <si>
    <t xml:space="preserve">Also a Commonwealth Games result; two wrong options are athletes rather than weightlifters, so consider swapping them.</t>
  </si>
  <si>
    <t xml:space="preserve">SPT-0201</t>
  </si>
  <si>
    <t xml:space="preserve">clubs-and-league</t>
  </si>
  <si>
    <t xml:space="preserve">Enyimba FC, two-time CAF Champions League winners, are based in which city?</t>
  </si>
  <si>
    <t xml:space="preserve">Aba</t>
  </si>
  <si>
    <t xml:space="preserve">Owerri</t>
  </si>
  <si>
    <t xml:space="preserve">Umuahia</t>
  </si>
  <si>
    <t xml:space="preserve">Enyimba means "People's Elephant" in Igbo, and the club is owned by the Abia State Government.</t>
  </si>
  <si>
    <t xml:space="preserve">https://en.wikipedia.org/wiki/Enyimba_International_F.C.</t>
  </si>
  <si>
    <t xml:space="preserve">Wikipedia: Enyimba F.C.</t>
  </si>
  <si>
    <t xml:space="preserve">SPT-0202</t>
  </si>
  <si>
    <t xml:space="preserve">Which Nigerian club is nicknamed the "Flying Antelopes"?</t>
  </si>
  <si>
    <t xml:space="preserve">Rangers International</t>
  </si>
  <si>
    <t xml:space="preserve">Enyimba</t>
  </si>
  <si>
    <t xml:space="preserve">Heartland</t>
  </si>
  <si>
    <t xml:space="preserve">Abia Warriors</t>
  </si>
  <si>
    <t xml:space="preserve">Their home ground, Enugu's Nnamdi Azikiwe Stadium, is nicknamed the "Cathedral".</t>
  </si>
  <si>
    <t xml:space="preserve">https://thisdaylive.com/index.php/2016/09/05/npfl-rangers-hammer-rivers-united-to-go-top</t>
  </si>
  <si>
    <t xml:space="preserve">ThisDay: Rangers hammer Rivers United</t>
  </si>
  <si>
    <t xml:space="preserve">SPT-0203</t>
  </si>
  <si>
    <t xml:space="preserve">nigerians-abroad</t>
  </si>
  <si>
    <t xml:space="preserve">Nwankwo Kanu joined which Premier League club in February 1999?</t>
  </si>
  <si>
    <t xml:space="preserve">Arsenal</t>
  </si>
  <si>
    <t xml:space="preserve">Chelsea</t>
  </si>
  <si>
    <t xml:space="preserve">Everton</t>
  </si>
  <si>
    <t xml:space="preserve">Bolton Wanderers</t>
  </si>
  <si>
    <t xml:space="preserve">In 1999 he hit a late hat-trick at Chelsea to turn a 2–0 deficit into a 3–2 win.</t>
  </si>
  <si>
    <t xml:space="preserve">https://www.premierleague.com/news/2284536</t>
  </si>
  <si>
    <t xml:space="preserve">Premier League: Black History Month Heroes – Kanu</t>
  </si>
  <si>
    <t xml:space="preserve">SPT-0204</t>
  </si>
  <si>
    <t xml:space="preserve">Victor Osimhen helped which club win the 2022–23 Serie A title?</t>
  </si>
  <si>
    <t xml:space="preserve">Napoli</t>
  </si>
  <si>
    <t xml:space="preserve">Inter Milan</t>
  </si>
  <si>
    <t xml:space="preserve">Juventus</t>
  </si>
  <si>
    <t xml:space="preserve">AC Milan</t>
  </si>
  <si>
    <t xml:space="preserve">The title ended Napoli's 33-year wait, and Osimhen became the first African to win Serie A's golden boot.</t>
  </si>
  <si>
    <t xml:space="preserve">https://www.goal.com/en-gb/news/victor-osimhen-becomes-first-african-player-to-win-serie-a-golden-boot-but-has-man-utd-linked-striker-played-his-final-game-for-napoli/blt6595f4f1f4d88449</t>
  </si>
  <si>
    <t xml:space="preserve">Goal: Osimhen first African Serie A golden boot</t>
  </si>
  <si>
    <t xml:space="preserve">SPT-0205</t>
  </si>
  <si>
    <t xml:space="preserve">stadiums</t>
  </si>
  <si>
    <t xml:space="preserve">Which city is home to the stadium renamed Moshood Abiola National Stadium in 2019?</t>
  </si>
  <si>
    <t xml:space="preserve">Abuja</t>
  </si>
  <si>
    <t xml:space="preserve">Lagos</t>
  </si>
  <si>
    <t xml:space="preserve">Ibadan</t>
  </si>
  <si>
    <t xml:space="preserve">Kaduna</t>
  </si>
  <si>
    <t xml:space="preserve">Opened in April 2003, it hosted that year's All-Africa Games and the 2009 FIFA U-17 World Cup final.</t>
  </si>
  <si>
    <t xml:space="preserve">https://en.wikipedia.org/wiki/Moshood_Abiola_National_Stadium</t>
  </si>
  <si>
    <t xml:space="preserve">Wikipedia: Moshood Abiola National Stadium</t>
  </si>
  <si>
    <t xml:space="preserve">SPT-0206</t>
  </si>
  <si>
    <t xml:space="preserve">Shooting Stars Sports Club, popularly called 3SC, is based in which city?</t>
  </si>
  <si>
    <t xml:space="preserve">Osogbo</t>
  </si>
  <si>
    <t xml:space="preserve">Ilorin</t>
  </si>
  <si>
    <t xml:space="preserve">Nicknamed the Oluyole Warriors, 3SC have long played home games at Lekan Salami Stadium, Adamasingba.</t>
  </si>
  <si>
    <t xml:space="preserve">https://thisdaylive.com/index.php/2024/12/15/npfl-kano-pillars-crumble-under-shooting-stars</t>
  </si>
  <si>
    <t xml:space="preserve">ThisDay: Kano Pillars crumble under Shooting Stars</t>
  </si>
  <si>
    <t xml:space="preserve">Reports conflict on whether Shooting Stars leave Lekan Salami Stadium for 2025/26; the fact avoids the question.</t>
  </si>
  <si>
    <t xml:space="preserve">SPT-0207</t>
  </si>
  <si>
    <t xml:space="preserve">Which NPFL club is nicknamed "Sai Masu Gida"?</t>
  </si>
  <si>
    <t xml:space="preserve">Kano Pillars</t>
  </si>
  <si>
    <t xml:space="preserve">Katsina United</t>
  </si>
  <si>
    <t xml:space="preserve">Wikki Tourists</t>
  </si>
  <si>
    <t xml:space="preserve">Gombe United</t>
  </si>
  <si>
    <t xml:space="preserve">Founded in 1990, Pillars won four league titles, including three in a row from 2012 to 2014.</t>
  </si>
  <si>
    <t xml:space="preserve">https://en.wikipedia.org/wiki/Kano_Pillars_F.C.</t>
  </si>
  <si>
    <t xml:space="preserve">Wikipedia: Kano Pillars F.C.</t>
  </si>
  <si>
    <t xml:space="preserve">SPT-0208</t>
  </si>
  <si>
    <t xml:space="preserve">The Ahmadu Bello Stadium is in which city?</t>
  </si>
  <si>
    <t xml:space="preserve">Kano</t>
  </si>
  <si>
    <t xml:space="preserve">Zaria</t>
  </si>
  <si>
    <t xml:space="preserve">Kaduna State is redeveloping the historic venue, with plans to raise its capacity to 32,000.</t>
  </si>
  <si>
    <t xml:space="preserve">https://leadership.ng/kaduna-state-takes-helm-of-ahmadu-bello-stadium-for-major-redevelopment/</t>
  </si>
  <si>
    <t xml:space="preserve">Leadership: Kaduna takes helm of Ahmadu Bello Stadium</t>
  </si>
  <si>
    <t xml:space="preserve">The fact mentions a 2026 rebuild plan that could go out of date.</t>
  </si>
  <si>
    <t xml:space="preserve">SPT-0209</t>
  </si>
  <si>
    <t xml:space="preserve">Ademola Lookman scored a hat-trick in the 2024 Europa League final against which club?</t>
  </si>
  <si>
    <t xml:space="preserve">Bayer Leverkusen</t>
  </si>
  <si>
    <t xml:space="preserve">AS Roma</t>
  </si>
  <si>
    <t xml:space="preserve">Marseille</t>
  </si>
  <si>
    <t xml:space="preserve">Atalanta's 3–0 win in Dublin ended Leverkusen's 51-game unbeaten run and was Atalanta's first European trophy.</t>
  </si>
  <si>
    <t xml:space="preserve">https://www.aljazeera.com/sports/2024/5/23/europa-league-final-nigerias-lookman-the-hero-as-atalanta-stun-leverkusen</t>
  </si>
  <si>
    <t xml:space="preserve">Al Jazeera: Lookman the hero as Atalanta stun Leverkusen</t>
  </si>
  <si>
    <t xml:space="preserve">SPT-0210</t>
  </si>
  <si>
    <t xml:space="preserve">Jay-Jay Okocha captained which English club to the 2004 League Cup final?</t>
  </si>
  <si>
    <t xml:space="preserve">Blackburn Rovers</t>
  </si>
  <si>
    <t xml:space="preserve">Wigan Athletic</t>
  </si>
  <si>
    <t xml:space="preserve">Charlton Athletic</t>
  </si>
  <si>
    <t xml:space="preserve">He scored twice in a 5–2 semi-final first-leg win over Aston Villa, but the final was lost to Middlesbrough.</t>
  </si>
  <si>
    <t xml:space="preserve">https://www.planetfootball.com/nostalgia/tribute-amazing-jay-jay-okocha-great-bolton-team</t>
  </si>
  <si>
    <t xml:space="preserve">Planet Football: Okocha and that Bolton team</t>
  </si>
  <si>
    <t xml:space="preserve">SPT-0211</t>
  </si>
  <si>
    <t xml:space="preserve">The Adokiye Amiesimaka Stadium is in which city?</t>
  </si>
  <si>
    <t xml:space="preserve">Port Harcourt</t>
  </si>
  <si>
    <t xml:space="preserve">Warri</t>
  </si>
  <si>
    <t xml:space="preserve">Yenagoa</t>
  </si>
  <si>
    <t xml:space="preserve">Calabar</t>
  </si>
  <si>
    <t xml:space="preserve">It is named after a member of Nigeria's 1980 AFCON-winning squad and opened in July 2015.</t>
  </si>
  <si>
    <t xml:space="preserve">https://en.wikipedia.org/wiki/Adokiye_Amiesimaka_Stadium</t>
  </si>
  <si>
    <t xml:space="preserve">Wikipedia: Adokiye Amiesimaka Stadium</t>
  </si>
  <si>
    <t xml:space="preserve">SPT-0212</t>
  </si>
  <si>
    <t xml:space="preserve">In what year did Enyimba become the first Nigerian club to win the CAF Champions League?</t>
  </si>
  <si>
    <t xml:space="preserve">2003</t>
  </si>
  <si>
    <t xml:space="preserve">They beat Egypt's Ismaily 2–1 on aggregate, winning 2–0 in Aba before losing 1–0 in Ismailia.</t>
  </si>
  <si>
    <t xml:space="preserve">https://en.wikipedia.org/wiki/2003_CAF_Champions_League_final</t>
  </si>
  <si>
    <t xml:space="preserve">Wikipedia: 2003 CAF Champions League final</t>
  </si>
  <si>
    <t xml:space="preserve">SPT-0213</t>
  </si>
  <si>
    <t xml:space="preserve">Which club is nicknamed the "Naze Millionaires"?</t>
  </si>
  <si>
    <t xml:space="preserve">As Iwuanyanwu Nationale, the Owerri club won four straight league titles from 1987 to 1990.</t>
  </si>
  <si>
    <t xml:space="preserve">https://en.wikipedia.org/wiki/Heartland_F.C.</t>
  </si>
  <si>
    <t xml:space="preserve">Wikipedia: Heartland F.C.</t>
  </si>
  <si>
    <t xml:space="preserve">SPT-0214</t>
  </si>
  <si>
    <t xml:space="preserve">Which Nigerian stadium is nicknamed the "Nest of Champions"?</t>
  </si>
  <si>
    <t xml:space="preserve">Godswill Akpabio Stadium</t>
  </si>
  <si>
    <t xml:space="preserve">Adokiye Amiesimaka Stadium</t>
  </si>
  <si>
    <t xml:space="preserve">Moshood Abiola Stadium</t>
  </si>
  <si>
    <t xml:space="preserve">Stephen Keshi Stadium</t>
  </si>
  <si>
    <t xml:space="preserve">The 30,000-capacity Uyo stadium, completed in 2014, is designed in the shape of a bird's nest.</t>
  </si>
  <si>
    <t xml:space="preserve">https://www.primebusiness.africa/as-super-eagles-fly-home-to-the-nest/</t>
  </si>
  <si>
    <t xml:space="preserve">Prime Business Africa: Super Eagles fly home to the Nest</t>
  </si>
  <si>
    <t xml:space="preserve">SPT-0215</t>
  </si>
  <si>
    <t xml:space="preserve">Which club won its first NPFL title in the 2021–22 season?</t>
  </si>
  <si>
    <t xml:space="preserve">Rivers United</t>
  </si>
  <si>
    <t xml:space="preserve">Akwa United</t>
  </si>
  <si>
    <t xml:space="preserve">Plateau United</t>
  </si>
  <si>
    <t xml:space="preserve">Remo Stars</t>
  </si>
  <si>
    <t xml:space="preserve">The Port Harcourt side clinched the title on 25 June 2022 with four matches to spare.</t>
  </si>
  <si>
    <t xml:space="preserve">https://en.wikipedia.org/wiki/2021%E2%80%9322_Nigeria_Professional_Football_League</t>
  </si>
  <si>
    <t xml:space="preserve">Wikipedia: 2021–22 NPFL season</t>
  </si>
  <si>
    <t xml:space="preserve">SPT-0216</t>
  </si>
  <si>
    <t xml:space="preserve">Aper Aku Stadium, the traditional home of Lobi Stars, is in which city?</t>
  </si>
  <si>
    <t xml:space="preserve">Makurdi</t>
  </si>
  <si>
    <t xml:space="preserve">Gboko</t>
  </si>
  <si>
    <t xml:space="preserve">Otukpo</t>
  </si>
  <si>
    <t xml:space="preserve">Katsina-Ala</t>
  </si>
  <si>
    <t xml:space="preserve">Lobi Stars, the Benue State club that calls the stadium home, are nicknamed the "Pride of Benue".</t>
  </si>
  <si>
    <t xml:space="preserve">https://dailytrust.com/how-soon-will-lobi-stars-return-home/</t>
  </si>
  <si>
    <t xml:space="preserve">Daily Trust: How soon will Lobi Stars return home?</t>
  </si>
  <si>
    <t xml:space="preserve">Lobi Stars play home games away from Makurdi while the stadium is renovated; the question says 'traditional home' to cover this.</t>
  </si>
  <si>
    <t xml:space="preserve">SPT-0217</t>
  </si>
  <si>
    <t xml:space="preserve">El-Kanemi Warriors, winners of the 2024 Federation Cup, are based in which city?</t>
  </si>
  <si>
    <t xml:space="preserve">Maiduguri</t>
  </si>
  <si>
    <t xml:space="preserve">Bauchi</t>
  </si>
  <si>
    <t xml:space="preserve">Yola</t>
  </si>
  <si>
    <t xml:space="preserve">Gombe</t>
  </si>
  <si>
    <t xml:space="preserve">They beat Abia Warriors 2–0 in the Lagos final, with Nasiru Salihu scoring both goals.</t>
  </si>
  <si>
    <t xml:space="preserve">https://www.flashscore.com/news/el-kanemi-warriors-beat-abia-warriors-to-win-president-federation-cup/801JXETk</t>
  </si>
  <si>
    <t xml:space="preserve">Flashscore: El Kanemi Warriors win Federation Cup</t>
  </si>
  <si>
    <t xml:space="preserve">SPT-0218</t>
  </si>
  <si>
    <t xml:space="preserve">Nwankwo Kanu scored the winning goal in the 2008 FA Cup final for which club?</t>
  </si>
  <si>
    <t xml:space="preserve">Portsmouth</t>
  </si>
  <si>
    <t xml:space="preserve">West Bromwich Albion</t>
  </si>
  <si>
    <t xml:space="preserve">Cardiff City</t>
  </si>
  <si>
    <t xml:space="preserve">Before Portsmouth, Kanu played a part in Arsenal's unbeaten "Invincibles" title-winning season.</t>
  </si>
  <si>
    <t xml:space="preserve">SPT-0219</t>
  </si>
  <si>
    <t xml:space="preserve">Who was the first Nigerian to be named African Footballer of the Year, in 1993?</t>
  </si>
  <si>
    <t xml:space="preserve">Emmanuel Amunike</t>
  </si>
  <si>
    <t xml:space="preserve">He was at Portugal's Vitória Setúbal, where he won the 1993–94 Bola de Prata with 21 league goals.</t>
  </si>
  <si>
    <t xml:space="preserve">https://www.goal.com/en-ng/news/nigerias-first-ever-world-cup-goal-rashidi-yekinis-five-most/bltc027164d12c41895</t>
  </si>
  <si>
    <t xml:space="preserve">Goal: Rashidi Yekini's five most memorable moments</t>
  </si>
  <si>
    <t xml:space="preserve">SPT-0220</t>
  </si>
  <si>
    <t xml:space="preserve">Lagos's Mobolaji Johnson Arena was known by what name before 2019?</t>
  </si>
  <si>
    <t xml:space="preserve">Onikan Stadium</t>
  </si>
  <si>
    <t xml:space="preserve">Teslim Balogun Stadium</t>
  </si>
  <si>
    <t xml:space="preserve">Agege Stadium</t>
  </si>
  <si>
    <t xml:space="preserve">Campos Mini Stadium</t>
  </si>
  <si>
    <t xml:space="preserve">The compact waterfront venue was renamed in December 2019 after Lagos State's first governor.</t>
  </si>
  <si>
    <t xml:space="preserve">https://sportsvillagesquare.com/2019/12/03/onikan-stadium-renamed-after-1st-lagos-governor-mobolaji-johnson/</t>
  </si>
  <si>
    <t xml:space="preserve">Sports Village Square: Onikan Stadium renamed</t>
  </si>
  <si>
    <t xml:space="preserve">SPT-0221</t>
  </si>
  <si>
    <t xml:space="preserve">Which club won its first-ever NPFL title in 2024–25, with three games to spare?</t>
  </si>
  <si>
    <t xml:space="preserve">Ikorodu City</t>
  </si>
  <si>
    <t xml:space="preserve">Shooting Stars</t>
  </si>
  <si>
    <t xml:space="preserve">Kwara United</t>
  </si>
  <si>
    <t xml:space="preserve">Coached by Daniel Ogunmodede, they sealed it with a 1–0 win over Niger Tornadoes in Ikenne.</t>
  </si>
  <si>
    <t xml:space="preserve">https://www.flashscore.com/news/soccer-npfl-remo-stars-secure-place-among-npfl-s-elite-after-first-ever-title-triumph/4In8PRIN</t>
  </si>
  <si>
    <t xml:space="preserve">Flashscore: Remo Stars' first-ever NPFL title</t>
  </si>
  <si>
    <t xml:space="preserve">SPT-0222</t>
  </si>
  <si>
    <t xml:space="preserve">Enyimba retained the CAF Champions League in 2004 by beating which club in the final?</t>
  </si>
  <si>
    <t xml:space="preserve">Étoile du Sahel</t>
  </si>
  <si>
    <t xml:space="preserve">Al Ahly</t>
  </si>
  <si>
    <t xml:space="preserve">Espérance de Tunis</t>
  </si>
  <si>
    <t xml:space="preserve">Raja Casablanca</t>
  </si>
  <si>
    <t xml:space="preserve">The final finished 3–3 on aggregate, and Enyimba won the shootout 5–3 in Abuja.</t>
  </si>
  <si>
    <t xml:space="preserve">https://en.wikipedia.org/wiki/2004_CAF_Champions_League</t>
  </si>
  <si>
    <t xml:space="preserve">Wikipedia: 2004 CAF Champions League</t>
  </si>
  <si>
    <t xml:space="preserve">SPT-0223</t>
  </si>
  <si>
    <t xml:space="preserve">Which club became the first Nigerian side to win a continental club trophy, in 1976?</t>
  </si>
  <si>
    <t xml:space="preserve">Bendel Insurance</t>
  </si>
  <si>
    <t xml:space="preserve">Mighty Jets</t>
  </si>
  <si>
    <t xml:space="preserve">The 1976 prize was the African Cup Winners' Cup; 3SC added the CAF Cup in 1992, beating Uganda's SC Villa.</t>
  </si>
  <si>
    <t xml:space="preserve">https://en.wikipedia.org/wiki/Shooting_Stars_S.C.</t>
  </si>
  <si>
    <t xml:space="preserve">Wikipedia: Shooting Stars S.C.</t>
  </si>
  <si>
    <t xml:space="preserve">SPT-0224</t>
  </si>
  <si>
    <t xml:space="preserve">In what year did Ibadan's Liberty Stadium open?</t>
  </si>
  <si>
    <t xml:space="preserve">1960</t>
  </si>
  <si>
    <t xml:space="preserve">On 11 October 1960 it staged Nigeria's first floodlit match, with Western Rovers beating Portuguese Guinea 3–2.</t>
  </si>
  <si>
    <t xml:space="preserve">https://sportsvillagesquare.com/2024/03/11/sixty-six-years-after-foundation-laying-liberty-stadium-lives-on-glorious-past</t>
  </si>
  <si>
    <t xml:space="preserve">Sports Village Square: Liberty Stadium's glorious past</t>
  </si>
  <si>
    <t xml:space="preserve">SPT-0225</t>
  </si>
  <si>
    <t xml:space="preserve">How many Serie A goals did Victor Osimhen score in 2022–23 to finish as the league's top scorer?</t>
  </si>
  <si>
    <t xml:space="preserve">26</t>
  </si>
  <si>
    <t xml:space="preserve">That beat Samuel Eto'o's 21 in 2010–11 as the most goals by an African in a single Serie A season.</t>
  </si>
  <si>
    <t xml:space="preserve">https://sscnapoli.it/en/osimhen-capocannoniere-e-primo-calciatore-africano-a-segnare-26-reti-in-un-solo-campionato-di-serie-a/</t>
  </si>
  <si>
    <t xml:space="preserve">SSC Napoli: Osimhen capocannoniere</t>
  </si>
  <si>
    <t xml:space="preserve">SPT-0226</t>
  </si>
  <si>
    <t xml:space="preserve">Uyo's Godswill Akpabio Stadium was modelled on which European stadium?</t>
  </si>
  <si>
    <t xml:space="preserve">Allianz Arena</t>
  </si>
  <si>
    <t xml:space="preserve">Wembley Stadium</t>
  </si>
  <si>
    <t xml:space="preserve">Emirates Stadium</t>
  </si>
  <si>
    <t xml:space="preserve">Camp Nou</t>
  </si>
  <si>
    <t xml:space="preserve">It opened on 7 November 2014 with a Super Eagles friendly against Ghana's Black Stars.</t>
  </si>
  <si>
    <t xml:space="preserve">https://www.bellanaija.com/?p=493401</t>
  </si>
  <si>
    <t xml:space="preserve">BellaNaija: Akwa Ibom stadium opening</t>
  </si>
  <si>
    <t xml:space="preserve">Only Nigerian press and Wikipedia say the Uyo stadium is modelled on the Allianz Arena; no official source found.</t>
  </si>
  <si>
    <t xml:space="preserve">SPT-0227</t>
  </si>
  <si>
    <t xml:space="preserve">Victor Ikpeba won the 1997 African Footballer of the Year award while at which club?</t>
  </si>
  <si>
    <t xml:space="preserve">AS Monaco</t>
  </si>
  <si>
    <t xml:space="preserve">Lens</t>
  </si>
  <si>
    <t xml:space="preserve">Paris Saint-Germain</t>
  </si>
  <si>
    <t xml:space="preserve">Signed by Arsène Wenger in 1993, he won the 1997 French title there and became the "Prince of Monaco".</t>
  </si>
  <si>
    <t xml:space="preserve">AS Monaco: Victor Ikpeba interview</t>
  </si>
  <si>
    <t xml:space="preserve">SPT-0228</t>
  </si>
  <si>
    <t xml:space="preserve">Which Nigerian club won the 1990 African Cup Winners' Cup?</t>
  </si>
  <si>
    <t xml:space="preserve">BCC Lions</t>
  </si>
  <si>
    <t xml:space="preserve">Lobi Stars</t>
  </si>
  <si>
    <t xml:space="preserve">Iwuanyanwu Nationale</t>
  </si>
  <si>
    <t xml:space="preserve">Stationery Stores</t>
  </si>
  <si>
    <t xml:space="preserve">Based in Gboko, Benue State, the club took its name from the Benue Cement Company.</t>
  </si>
  <si>
    <t xml:space="preserve">https://en.wikipedia.org/wiki/BCC_Lions_F.C.</t>
  </si>
  <si>
    <t xml:space="preserve">Wikipedia: BCC Lions F.C.</t>
  </si>
  <si>
    <t xml:space="preserve">SPT-0229</t>
  </si>
  <si>
    <t xml:space="preserve">Who coached Enyimba to their first CAF Champions League title in 2003?</t>
  </si>
  <si>
    <t xml:space="preserve">Kadiri Ikhana</t>
  </si>
  <si>
    <t xml:space="preserve">Ikhana, an AFCON winner as a player in 1980, was named CAF Coach of the Year for 2003.</t>
  </si>
  <si>
    <t xml:space="preserve">https://en.wikipedia.org/wiki/Kadiri_Ikhana</t>
  </si>
  <si>
    <t xml:space="preserve">Wikipedia: Kadiri Ikhana</t>
  </si>
  <si>
    <t xml:space="preserve">The CAF Coach of the Year part of the fact comes from Wikipedia only.</t>
  </si>
  <si>
    <t xml:space="preserve">SPT-0230</t>
  </si>
  <si>
    <t xml:space="preserve">Rivers United were formed in 2016 by merging Dolphins with which club?</t>
  </si>
  <si>
    <t xml:space="preserve">Sharks</t>
  </si>
  <si>
    <t xml:space="preserve">Bayelsa United</t>
  </si>
  <si>
    <t xml:space="preserve">Warri Wolves</t>
  </si>
  <si>
    <t xml:space="preserve">Ocean Boys</t>
  </si>
  <si>
    <t xml:space="preserve">The club crest features both a shark and a dolphin to reflect the merger.</t>
  </si>
  <si>
    <t xml:space="preserve">https://en.wikipedia.org/wiki/Rivers_United_F.C.</t>
  </si>
  <si>
    <t xml:space="preserve">Wikipedia: Rivers United F.C.</t>
  </si>
  <si>
    <t xml:space="preserve">SPT-0231</t>
  </si>
  <si>
    <t xml:space="preserve">Which German club gave Jay-Jay Okocha his first European contract in 1990?</t>
  </si>
  <si>
    <t xml:space="preserve">Borussia Neunkirchen</t>
  </si>
  <si>
    <t xml:space="preserve">Eintracht Frankfurt</t>
  </si>
  <si>
    <t xml:space="preserve">Karlsruher SC</t>
  </si>
  <si>
    <t xml:space="preserve">Kickers Offenbach</t>
  </si>
  <si>
    <t xml:space="preserve">He joined a training session with his friend Binebi Numa, impressed the coach and was offered a deal.</t>
  </si>
  <si>
    <t xml:space="preserve">Wikipedia: Jay-Jay Okocha</t>
  </si>
  <si>
    <t xml:space="preserve">SPT-0232</t>
  </si>
  <si>
    <t xml:space="preserve">Which Nigerian club won the 1994 CAF Cup?</t>
  </si>
  <si>
    <t xml:space="preserve">Julius Berger</t>
  </si>
  <si>
    <t xml:space="preserve">Insurance beat Angola's Primeiro de Maio 3–1 on aggregate after losing the first leg 1–0.</t>
  </si>
  <si>
    <t xml:space="preserve">https://en.wikipedia.org/wiki/1994_CAF_Cup</t>
  </si>
  <si>
    <t xml:space="preserve">Wikipedia: 1994 CAF Cup</t>
  </si>
  <si>
    <t xml:space="preserve">SPT-0101</t>
  </si>
  <si>
    <t xml:space="preserve">womens-football</t>
  </si>
  <si>
    <t xml:space="preserve">What is the nickname of Nigeria's senior women's national football team?</t>
  </si>
  <si>
    <t xml:space="preserve">Super Falcons</t>
  </si>
  <si>
    <t xml:space="preserve">Falconets</t>
  </si>
  <si>
    <t xml:space="preserve">Flamingos</t>
  </si>
  <si>
    <t xml:space="preserve">Black Queens</t>
  </si>
  <si>
    <t xml:space="preserve">Justine Madugu was head coach of the Super Falcons when they won the 2024 Women's AFCON, played in 2025.</t>
  </si>
  <si>
    <t xml:space="preserve">https://www.cafonline.com/caf-womens-africa-cup-of-nations/news/justine-madugu-how-wafcon-2024-success-changed-my-life/</t>
  </si>
  <si>
    <t xml:space="preserve">CAF — Justine Madugu on WAFCON 2024 success</t>
  </si>
  <si>
    <t xml:space="preserve">Worded like SEED-0088 (the men's team nickname) but the answer differs. SEED-0088's fact names the Super Falcons, so don't put both in the same pack.</t>
  </si>
  <si>
    <t xml:space="preserve">SPT-0102</t>
  </si>
  <si>
    <t xml:space="preserve">As of October 2026, which country has won the most Women's Africa Cup of Nations titles?</t>
  </si>
  <si>
    <t xml:space="preserve">Cameroon</t>
  </si>
  <si>
    <t xml:space="preserve">Nigeria have 10 titles. Cameroon won the 2026 edition in Morocco, their first.</t>
  </si>
  <si>
    <t xml:space="preserve">https://en.wikipedia.org/wiki/Women%27s_Africa_Cup_of_Nations</t>
  </si>
  <si>
    <t xml:space="preserve">Wikipedia — Women's Africa Cup of Nations</t>
  </si>
  <si>
    <t xml:space="preserve">SPT-0103</t>
  </si>
  <si>
    <t xml:space="preserve">As of October 2026, who has won CAF's African Women's Player of the Year award a record six times?</t>
  </si>
  <si>
    <t xml:space="preserve">Asisat Oshoala</t>
  </si>
  <si>
    <t xml:space="preserve">Perpetua Nkwocha</t>
  </si>
  <si>
    <t xml:space="preserve">Barbra Banda</t>
  </si>
  <si>
    <t xml:space="preserve">Thembi Kgatlana</t>
  </si>
  <si>
    <t xml:space="preserve">Morocco's Ghizlane Chebbak won the 2025 award, with Nigeria's Rasheedat Ajibade as runner-up.</t>
  </si>
  <si>
    <t xml:space="preserve">https://allafrica.com/stories/202511200443.html</t>
  </si>
  <si>
    <t xml:space="preserve">AllAfrica — CAF Awards 2025: Chebbak beats Ajibade</t>
  </si>
  <si>
    <t xml:space="preserve">SPT-0104</t>
  </si>
  <si>
    <t xml:space="preserve">At the 2023 Women's World Cup, Nigeria beat which co-host 3-2 in the group stage?</t>
  </si>
  <si>
    <t xml:space="preserve">Australia</t>
  </si>
  <si>
    <t xml:space="preserve">New Zealand</t>
  </si>
  <si>
    <t xml:space="preserve">Republic of Ireland</t>
  </si>
  <si>
    <t xml:space="preserve">Asisat Oshoala came off the bench to score Nigeria's third goal in front of a sold-out crowd in Brisbane.</t>
  </si>
  <si>
    <t xml:space="preserve">https://www.africanews.com/amp/2023/07/27/womens-world-cup-nigeria-beats-australia-3-2-in-shock-win/</t>
  </si>
  <si>
    <t xml:space="preserve">Africanews — Nigeria beat Australia 3-2</t>
  </si>
  <si>
    <t xml:space="preserve">SPT-0105</t>
  </si>
  <si>
    <t xml:space="preserve">Nigeria won the 2024 Women's AFCON final 3-2 against which host nation?</t>
  </si>
  <si>
    <t xml:space="preserve">Morocco</t>
  </si>
  <si>
    <t xml:space="preserve">The Super Falcons were 2-0 down at half-time in Rabat before scoring three second-half goals.</t>
  </si>
  <si>
    <t xml:space="preserve">https://www.cafonline.com/caf-womens-africa-cup-of-nations/news/nigeria-produce-stunning-comeback-to-beat-morocco-and-win-10th-wafcon-title/</t>
  </si>
  <si>
    <t xml:space="preserve">CAF — WAFCON 2024 final report</t>
  </si>
  <si>
    <t xml:space="preserve">SPT-0106</t>
  </si>
  <si>
    <t xml:space="preserve">In 2021, Asisat Oshoala became the first African woman to win the Women's Champions League with which club?</t>
  </si>
  <si>
    <t xml:space="preserve">Barcelona</t>
  </si>
  <si>
    <t xml:space="preserve">Lyon</t>
  </si>
  <si>
    <t xml:space="preserve">Barcelona beat Chelsea 4-0 in the 2021 final at Gamla Ullevi in Gothenburg, Sweden.</t>
  </si>
  <si>
    <t xml:space="preserve">https://radionigerialagos.gov.ng/asisat-oshoala-makes-history-as-first-african-woman-to-win-champions-league/</t>
  </si>
  <si>
    <t xml:space="preserve">Radio Nigeria — Oshoala first African woman to win UWCL</t>
  </si>
  <si>
    <t xml:space="preserve">SPT-0107</t>
  </si>
  <si>
    <t xml:space="preserve">How many FIFA Women's World Cups did the Super Falcons play in from 1991 to 2023?</t>
  </si>
  <si>
    <t xml:space="preserve">9</t>
  </si>
  <si>
    <t xml:space="preserve">Nigeria reached the knockout rounds three times: in 1999, 2019 and 2023.</t>
  </si>
  <si>
    <t xml:space="preserve">https://en.wikipedia.org/wiki/Nigeria_women%27s_national_football_team</t>
  </si>
  <si>
    <t xml:space="preserve">Wikipedia — Nigeria women's national football team</t>
  </si>
  <si>
    <t xml:space="preserve">SPT-0108</t>
  </si>
  <si>
    <t xml:space="preserve">Which Nigerian goalkeeper saved a penalty from Canada's Christine Sinclair at the 2023 Women's World Cup?</t>
  </si>
  <si>
    <t xml:space="preserve">Chiamaka Nnadozie</t>
  </si>
  <si>
    <t xml:space="preserve">Tochukwu Oluehi</t>
  </si>
  <si>
    <t xml:space="preserve">Precious Dede</t>
  </si>
  <si>
    <t xml:space="preserve">Yewande Balogun</t>
  </si>
  <si>
    <t xml:space="preserve">Sinclair was trying to become the first player to score at six World Cups. The match in Melbourne ended 0-0.</t>
  </si>
  <si>
    <t xml:space="preserve">https://www.africanews.com/amp/2023/07/21/womens-world-cup-nigeria-hooks-canada-heroic-nnadozie/</t>
  </si>
  <si>
    <t xml:space="preserve">Africanews — Nigeria hold Canada, heroic Nnadozie</t>
  </si>
  <si>
    <t xml:space="preserve">SPT-0109</t>
  </si>
  <si>
    <t xml:space="preserve">Who was named Player of the Tournament at the 2024 Women's AFCON, which Nigeria won?</t>
  </si>
  <si>
    <t xml:space="preserve">Rasheedat Ajibade</t>
  </si>
  <si>
    <t xml:space="preserve">Esther Okoronkwo</t>
  </si>
  <si>
    <t xml:space="preserve">Jennifer Echegini</t>
  </si>
  <si>
    <t xml:space="preserve">Ajibade captained Nigeria and won three Player of the Match awards in their six games.</t>
  </si>
  <si>
    <t xml:space="preserve">https://panafricafootball.com/article/nigeria-dominate-wafcon-2024-individual-awards</t>
  </si>
  <si>
    <t xml:space="preserve">Pan Africa Football — Nigeria dominate WAFCON 2024 awards</t>
  </si>
  <si>
    <t xml:space="preserve">SPT-0110</t>
  </si>
  <si>
    <t xml:space="preserve">Who was the first winner of CAF's African Women's Footballer of the Year award?</t>
  </si>
  <si>
    <t xml:space="preserve">Mercy Akide</t>
  </si>
  <si>
    <t xml:space="preserve">Cynthia Uwak</t>
  </si>
  <si>
    <t xml:space="preserve">Florence Omagbemi</t>
  </si>
  <si>
    <t xml:space="preserve">Akide won it in 2001. Perpetua Nkwocha later won the award four times.</t>
  </si>
  <si>
    <t xml:space="preserve">Sources differ on the year of her award (2001 or 2002); the question leaves the year out.</t>
  </si>
  <si>
    <t xml:space="preserve">SPT-0111</t>
  </si>
  <si>
    <t xml:space="preserve">Who scored Nigeria's late winner in the 2024 Women's AFCON final against Morocco?</t>
  </si>
  <si>
    <t xml:space="preserve">Folashade Ijamilusi</t>
  </si>
  <si>
    <t xml:space="preserve">Esther Okoronkwo (penalty) and Folashade Ijamilusi scored first as Nigeria came back from 2-0 down.</t>
  </si>
  <si>
    <t xml:space="preserve">https://www.arise.tv/super-falcons-stage-thrilling-comeback-to-win-record-10th-wafcon-title-against-hosts-morocco</t>
  </si>
  <si>
    <t xml:space="preserve">Arise News — Super Falcons win record 10th WAFCON</t>
  </si>
  <si>
    <t xml:space="preserve">CAF's report says 'Joe Echegini'; Nigerian outlets say 'Jennifer Echegini'. Check against the name dictionary.</t>
  </si>
  <si>
    <t xml:space="preserve">SPT-0112</t>
  </si>
  <si>
    <t xml:space="preserve">Which country knocked Nigeria out of the 1999 Women's World Cup quarter-finals with a golden goal?</t>
  </si>
  <si>
    <t xml:space="preserve">China</t>
  </si>
  <si>
    <t xml:space="preserve">Norway</t>
  </si>
  <si>
    <t xml:space="preserve">Nigeria came back from 3-0 down to force extra time before Sissi's free-kick settled the match.</t>
  </si>
  <si>
    <t xml:space="preserve">https://inside.fifa.com/news/akide-remembers-nigeria-s-amazing-1999-adventure-2804713</t>
  </si>
  <si>
    <t xml:space="preserve">FIFA — Akide remembers Nigeria's 1999 adventure</t>
  </si>
  <si>
    <t xml:space="preserve">SPT-0113</t>
  </si>
  <si>
    <t xml:space="preserve">How many goals did Perpetua Nkwocha score in the 2004 African Women's Championship final against Cameroon?</t>
  </si>
  <si>
    <t xml:space="preserve">4</t>
  </si>
  <si>
    <t xml:space="preserve">3</t>
  </si>
  <si>
    <t xml:space="preserve">2</t>
  </si>
  <si>
    <t xml:space="preserve">She was top scorer at that tournament in South Africa, with nine goals in five matches.</t>
  </si>
  <si>
    <t xml:space="preserve">https://www.cafonline.com/caf-womens-africa-cup-of-nations/news/6-days-to-go-until-the-women-s-afcon-perpetua-nkwocha-the-queen-of-johannesburg/</t>
  </si>
  <si>
    <t xml:space="preserve">CAF — Perpetua Nkwocha, the Queen of Johannesburg</t>
  </si>
  <si>
    <t xml:space="preserve">CAF says four goals in a 5-0 final; one 2004 report gives 4-2.</t>
  </si>
  <si>
    <t xml:space="preserve">SPT-0114</t>
  </si>
  <si>
    <t xml:space="preserve">Which former Super Falcons captain coached Nigeria to the 2016 Women's AFCON title?</t>
  </si>
  <si>
    <t xml:space="preserve">Eucharia Uche</t>
  </si>
  <si>
    <t xml:space="preserve">CAF calls her the only person to win the Women's AFCON as both captain and coach.</t>
  </si>
  <si>
    <t xml:space="preserve">https://www.cafonline.com/caf-womens-africa-cup-of-nations/news/nigeria-s-winning-spirit-through-generations-from-trailblazers-to-torchbearers/</t>
  </si>
  <si>
    <t xml:space="preserve">CAF — Nigeria's winning spirit through generations</t>
  </si>
  <si>
    <t xml:space="preserve">CAF says she is the only person to win WAFCON as both captain and coach; a 2017 article credits Eucharia Uche first. The question only asks who coached in 2016.</t>
  </si>
  <si>
    <t xml:space="preserve">SPT-0115</t>
  </si>
  <si>
    <t xml:space="preserve">youth-football</t>
  </si>
  <si>
    <t xml:space="preserve">What is the nickname of Nigeria's men's under-17 national team?</t>
  </si>
  <si>
    <t xml:space="preserve">Black Starlets</t>
  </si>
  <si>
    <t xml:space="preserve">Super Eagles</t>
  </si>
  <si>
    <t xml:space="preserve">In 2015 they became only the second team to retain the U-17 World Cup, beating Mali 2-0 in Chile.</t>
  </si>
  <si>
    <t xml:space="preserve">https://ripplesnigeria.com/golden-eaglets-retain-u-17-world-cup</t>
  </si>
  <si>
    <t xml:space="preserve">Ripples Nigeria — Golden Eaglets retain U-17 World Cup</t>
  </si>
  <si>
    <t xml:space="preserve">SPT-0116</t>
  </si>
  <si>
    <t xml:space="preserve">Which Nigerian won the Golden Ball as best player at the 2013 FIFA U-17 World Cup in the UAE?</t>
  </si>
  <si>
    <t xml:space="preserve">Musa Muhammed</t>
  </si>
  <si>
    <t xml:space="preserve">Taiwo Awoniyi</t>
  </si>
  <si>
    <t xml:space="preserve">Success Isaac</t>
  </si>
  <si>
    <t xml:space="preserve">Nigeria beat holders Mexico 3-0 in the Abu Dhabi final to win a then-record fourth U-17 title.</t>
  </si>
  <si>
    <t xml:space="preserve">https://www.aljazeera.com/sports/2013/11/9/nigeria-crowned-under-17-world-cup-champions</t>
  </si>
  <si>
    <t xml:space="preserve">Al Jazeera — Nigeria crowned U-17 world champions (2013)</t>
  </si>
  <si>
    <t xml:space="preserve">SPT-0117</t>
  </si>
  <si>
    <t xml:space="preserve">Who scored both of Argentina's goals when they beat Nigeria 2-1 in the 2005 FIFA U-20 final?</t>
  </si>
  <si>
    <t xml:space="preserve">Lionel Messi</t>
  </si>
  <si>
    <t xml:space="preserve">Sergio Agüero</t>
  </si>
  <si>
    <t xml:space="preserve">Pablo Zabaleta</t>
  </si>
  <si>
    <t xml:space="preserve">Fernando Gago</t>
  </si>
  <si>
    <t xml:space="preserve">Both goals were penalties. Nigeria's John Obi Mikel and Taye Taiwo came second and third for the Golden Ball.</t>
  </si>
  <si>
    <t xml:space="preserve">https://www.fcbarcelona.com/en/news/1096460/years-since-argentina-and-leo-messi-won-u-world-cup</t>
  </si>
  <si>
    <t xml:space="preserve">FC Barcelona — Messi's 2005 U-20 World Cup win</t>
  </si>
  <si>
    <t xml:space="preserve">SPT-0118</t>
  </si>
  <si>
    <t xml:space="preserve">In what year did Nigeria win the first-ever FIFA U-16 World Championship?</t>
  </si>
  <si>
    <t xml:space="preserve">1985</t>
  </si>
  <si>
    <t xml:space="preserve">Jonathan Akpoborie and Victor Igbinoba scored in the 2-0 final win over West Germany.</t>
  </si>
  <si>
    <t xml:space="preserve">https://sportsvillagesquare.com/2020/08/11/this-day-in-history-nigeria-rule-the-world</t>
  </si>
  <si>
    <t xml:space="preserve">Sports Village Square — This day in history: Nigeria rule the world</t>
  </si>
  <si>
    <t xml:space="preserve">SPT-0119</t>
  </si>
  <si>
    <t xml:space="preserve">How many goals did Victor Osimhen score at the 2015 FIFA U-17 World Cup in Chile?</t>
  </si>
  <si>
    <t xml:space="preserve">10</t>
  </si>
  <si>
    <t xml:space="preserve">He broke the old record of nine goals. Captain Kelechi Nwakali won the Golden Ball; Osimhen took the Golden Boot.</t>
  </si>
  <si>
    <t xml:space="preserve">https://www.soccerwire.com/news/nigerians-wins-fifa-u-17-world-cup-final-2-0-over-mali/</t>
  </si>
  <si>
    <t xml:space="preserve">SoccerWire — Nigeria win U-17 World Cup final over Mali</t>
  </si>
  <si>
    <t xml:space="preserve">SPT-0120</t>
  </si>
  <si>
    <t xml:space="preserve">Nigeria's Falconets lost the U-20 Women's World Cup finals of 2010 and 2014 to which country?</t>
  </si>
  <si>
    <t xml:space="preserve">North Korea</t>
  </si>
  <si>
    <t xml:space="preserve">Asisat Oshoala won the Golden Ball and the Golden Boot, with seven goals, at the 2014 edition in Canada.</t>
  </si>
  <si>
    <t xml:space="preserve">https://equalizersoccer.com/2014/08/24/germany-beats-nigeria-wins-fifa-u-20-womens-world-cup-canada-extra-time/</t>
  </si>
  <si>
    <t xml:space="preserve">The Equalizer — Germany beat Nigeria in 2014 U-20 final</t>
  </si>
  <si>
    <t xml:space="preserve">SPT-0121</t>
  </si>
  <si>
    <t xml:space="preserve">Nigeria hosted the 2009 U-17 World Cup but lost the final in Abuja to which country?</t>
  </si>
  <si>
    <t xml:space="preserve">Switzerland</t>
  </si>
  <si>
    <t xml:space="preserve">Colombia</t>
  </si>
  <si>
    <t xml:space="preserve">Nigeria's Sani Emmanuel was voted the tournament's best player.</t>
  </si>
  <si>
    <t xml:space="preserve">https://en.wikipedia.org/wiki/2009_FIFA_U-17_World_Cup</t>
  </si>
  <si>
    <t xml:space="preserve">Wikipedia — 2009 FIFA U-17 World Cup</t>
  </si>
  <si>
    <t xml:space="preserve">SPT-0122</t>
  </si>
  <si>
    <t xml:space="preserve">In which year did Nwankwo Kanu win the U-17 world title with Nigeria?</t>
  </si>
  <si>
    <t xml:space="preserve">1993</t>
  </si>
  <si>
    <t xml:space="preserve">1987</t>
  </si>
  <si>
    <t xml:space="preserve">1995</t>
  </si>
  <si>
    <t xml:space="preserve">Kanu scored five goals at the tournament in Japan, including a hat-trick in an 8-0 win over Canada.</t>
  </si>
  <si>
    <t xml:space="preserve">https://en.wikipedia.org/wiki/1993_FIFA_U-17_World_Championship</t>
  </si>
  <si>
    <t xml:space="preserve">Wikipedia — 1993 FIFA U-17 World Championship</t>
  </si>
  <si>
    <t xml:space="preserve">SPT-0123</t>
  </si>
  <si>
    <t xml:space="preserve">In the 1989 'Miracle of Dammam', Nigeria's U-20s came back from 4-0 down against which team?</t>
  </si>
  <si>
    <t xml:space="preserve">Soviet Union</t>
  </si>
  <si>
    <t xml:space="preserve">Czechoslovakia</t>
  </si>
  <si>
    <t xml:space="preserve">The quarter-final ended 4-4 and Nigeria won the shoot-out 5-3. They went on to reach the final.</t>
  </si>
  <si>
    <t xml:space="preserve">https://en.wikipedia.org/wiki/Miracle_of_Dammam</t>
  </si>
  <si>
    <t xml:space="preserve">Wikipedia — Miracle of Dammam</t>
  </si>
  <si>
    <t xml:space="preserve">SPT-0124</t>
  </si>
  <si>
    <t xml:space="preserve">Who captained Nigeria to the first-ever FIFA U-16 World Championship title, won in China?</t>
  </si>
  <si>
    <t xml:space="preserve">Nduka Ugbade</t>
  </si>
  <si>
    <t xml:space="preserve">Jonathan Akpoborie</t>
  </si>
  <si>
    <t xml:space="preserve">Victor Igbinoba</t>
  </si>
  <si>
    <t xml:space="preserve">Philip Osondu</t>
  </si>
  <si>
    <t xml:space="preserve">Ugbade later came back to the Golden Eaglets as their head coach.</t>
  </si>
  <si>
    <t xml:space="preserve">https://thisdaylive.com/index.php/2023/04/27/ugbade-dreams-making-history-as-first-u17-winner-and-coach</t>
  </si>
  <si>
    <t xml:space="preserve">ThisDay — Ugbade dreams of history as U-17 winner and coach</t>
  </si>
  <si>
    <t xml:space="preserve">SPT-0125</t>
  </si>
  <si>
    <t xml:space="preserve">Which Nigerian was top scorer at the 1993 U-17 World Championship in Japan, with six goals?</t>
  </si>
  <si>
    <t xml:space="preserve">Wilson Oruma</t>
  </si>
  <si>
    <t xml:space="preserve">Peter Anosike</t>
  </si>
  <si>
    <t xml:space="preserve">Nigeria won the title and also took the tournament's Fair Play Award.</t>
  </si>
  <si>
    <t xml:space="preserve">SPT-0126</t>
  </si>
  <si>
    <t xml:space="preserve">Nigeria's Flamingos won bronze at the 2022 U-17 Women's World Cup in which country?</t>
  </si>
  <si>
    <t xml:space="preserve">India</t>
  </si>
  <si>
    <t xml:space="preserve">Uruguay</t>
  </si>
  <si>
    <t xml:space="preserve">Jordan</t>
  </si>
  <si>
    <t xml:space="preserve">Dominican Republic</t>
  </si>
  <si>
    <t xml:space="preserve">They beat Germany 3-2 on penalties after a 3-3 draw in the third-place match.</t>
  </si>
  <si>
    <t xml:space="preserve">https://thisdaylive.com/index.php/2022/10/30/gallant-flamingos-beat-germany-to-win-u17-world-cup-bronze</t>
  </si>
  <si>
    <t xml:space="preserve">ThisDay — Flamingos beat Germany to win U-17 bronze</t>
  </si>
  <si>
    <t xml:space="preserve">SPT-0127</t>
  </si>
  <si>
    <t xml:space="preserve">olympic-football</t>
  </si>
  <si>
    <t xml:space="preserve">Which country did Nigeria beat 3-2 in the men's football final at the 1996 Olympics?</t>
  </si>
  <si>
    <t xml:space="preserve">Mexico</t>
  </si>
  <si>
    <t xml:space="preserve">Argentina's Hernán Crespo, who scored a penalty in the final, finished as the tournament's joint top scorer.</t>
  </si>
  <si>
    <t xml:space="preserve">https://en.wikipedia.org/wiki/Football_at_the_1996_Summer_Olympics_%E2%80%93_Men%27s_tournament</t>
  </si>
  <si>
    <t xml:space="preserve">Wikipedia — 1996 Olympics men's football tournament</t>
  </si>
  <si>
    <t xml:space="preserve">SPT-0128</t>
  </si>
  <si>
    <t xml:space="preserve">Nwankwo Kanu's golden goal knocked which team out of the 1996 Olympic semi-finals?</t>
  </si>
  <si>
    <t xml:space="preserve">Japan</t>
  </si>
  <si>
    <t xml:space="preserve">Nigeria were 3-1 down at half-time. Kanu equalised late, then won the game in extra time.</t>
  </si>
  <si>
    <t xml:space="preserve">https://www.olympedia.org/results/34098</t>
  </si>
  <si>
    <t xml:space="preserve">Olympedia — Football, Men, 1996 Olympics</t>
  </si>
  <si>
    <t xml:space="preserve">SPT-0129</t>
  </si>
  <si>
    <t xml:space="preserve">Who scored Nigeria's last-minute winner in the 1996 Olympic final?</t>
  </si>
  <si>
    <t xml:space="preserve">The winner was a left-footed volley. Daniel Amokachi had equalised in the 74th minute.</t>
  </si>
  <si>
    <t xml:space="preserve">https://inside.fifa.com/en/news/africa-s-golden-olympic-history</t>
  </si>
  <si>
    <t xml:space="preserve">FIFA — Africa's golden Olympic history</t>
  </si>
  <si>
    <t xml:space="preserve">Spelled 'Amunike' as FIFA and Olympedia do; Nigerian media often write 'Amuneke'.</t>
  </si>
  <si>
    <t xml:space="preserve">SPT-0130</t>
  </si>
  <si>
    <t xml:space="preserve">Who coached Nigeria's 'Dream Team' to Olympic football gold at Atlanta 1996?</t>
  </si>
  <si>
    <t xml:space="preserve">Jo Bonfrère</t>
  </si>
  <si>
    <t xml:space="preserve">Shuaibu Amodu</t>
  </si>
  <si>
    <t xml:space="preserve">Cameroon followed Nigeria by winning Olympic football gold at Sydney 2000.</t>
  </si>
  <si>
    <t xml:space="preserve">SPT-0131</t>
  </si>
  <si>
    <t xml:space="preserve">Who scored four goals in Nigeria's 5-4 win over Japan at the Rio 2016 Olympics?</t>
  </si>
  <si>
    <t xml:space="preserve">Oghenekaro Etebo</t>
  </si>
  <si>
    <t xml:space="preserve">Sadiq Umar</t>
  </si>
  <si>
    <t xml:space="preserve">Aminu Umar</t>
  </si>
  <si>
    <t xml:space="preserve">John Obi Mikel</t>
  </si>
  <si>
    <t xml:space="preserve">The game was played in Manaus. Nigeria went on to win bronze at Rio 2016.</t>
  </si>
  <si>
    <t xml:space="preserve">https://thisdaylive.com/index.php/2016/08/13/oghenekaro-eteboeye-on-olympic-gold</t>
  </si>
  <si>
    <t xml:space="preserve">ThisDay — Oghenekaro Etebo: eye on Olympic gold</t>
  </si>
  <si>
    <t xml:space="preserve">SPT-0132</t>
  </si>
  <si>
    <t xml:space="preserve">The 1996 Olympic football final was played at Sanford Stadium in which US city?</t>
  </si>
  <si>
    <t xml:space="preserve">Athens, Georgia</t>
  </si>
  <si>
    <t xml:space="preserve">Atlanta, Georgia</t>
  </si>
  <si>
    <t xml:space="preserve">Orlando, Florida</t>
  </si>
  <si>
    <t xml:space="preserve">Birmingham, Alabama</t>
  </si>
  <si>
    <t xml:space="preserve">A crowd of 86,117 watched the final there on 3 August 1996.</t>
  </si>
  <si>
    <t xml:space="preserve">SPT-0301</t>
  </si>
  <si>
    <t xml:space="preserve">olympics</t>
  </si>
  <si>
    <t xml:space="preserve">In which event did Chioma Ajunwa win Olympic gold at Atlanta 1996?</t>
  </si>
  <si>
    <t xml:space="preserve">Long jump</t>
  </si>
  <si>
    <t xml:space="preserve">Triple jump</t>
  </si>
  <si>
    <t xml:space="preserve">High jump</t>
  </si>
  <si>
    <t xml:space="preserve">100m</t>
  </si>
  <si>
    <t xml:space="preserve">She won with her first jump of the final, and had earlier played for Nigeria at the 1991 Women's World Cup.</t>
  </si>
  <si>
    <t xml:space="preserve">https://en.wikipedia.org/wiki/Chioma_Ajunwa</t>
  </si>
  <si>
    <t xml:space="preserve">Chioma Ajunwa (Wikipedia)</t>
  </si>
  <si>
    <t xml:space="preserve">SPT-0302</t>
  </si>
  <si>
    <t xml:space="preserve">commonwealth-and-african-games</t>
  </si>
  <si>
    <t xml:space="preserve">Which Nigerian city hosted the 8th All-Africa Games in 2003?</t>
  </si>
  <si>
    <t xml:space="preserve">53 nations took part, and a brand-new national stadium was built in the capital for the Games.</t>
  </si>
  <si>
    <t xml:space="preserve">https://en.wikipedia.org/wiki/2003_All-Africa_Games</t>
  </si>
  <si>
    <t xml:space="preserve">2003 All-Africa Games (Wikipedia)</t>
  </si>
  <si>
    <t xml:space="preserve">SPT-0303</t>
  </si>
  <si>
    <t xml:space="preserve">Which Nigerian multi-sport event for the states was first held in Lagos in 1973?</t>
  </si>
  <si>
    <t xml:space="preserve">National Sports Festival</t>
  </si>
  <si>
    <t xml:space="preserve">National Youth Games</t>
  </si>
  <si>
    <t xml:space="preserve">NUGA Games</t>
  </si>
  <si>
    <t xml:space="preserve">Principals' Cup</t>
  </si>
  <si>
    <t xml:space="preserve">It was conceived to promote national unity, and the first edition was staged at the National Stadium, Surulere.</t>
  </si>
  <si>
    <t xml:space="preserve">https://en.wikipedia.org/wiki/Nigerian_National_Sports_Festival</t>
  </si>
  <si>
    <t xml:space="preserve">Nigerian National Sports Festival (Wikipedia)</t>
  </si>
  <si>
    <t xml:space="preserve">SPT-0304</t>
  </si>
  <si>
    <t xml:space="preserve">At Tokyo 2020, Blessing Oborududu won Olympic silver in which sport?</t>
  </si>
  <si>
    <t xml:space="preserve">Weightlifting</t>
  </si>
  <si>
    <t xml:space="preserve">It was Nigeria's first ever Olympic wrestling medal; she lost the 68kg final to USA's Tamyra Mensah-Stock.</t>
  </si>
  <si>
    <t xml:space="preserve">Blessing Oborududu (Wikipedia)</t>
  </si>
  <si>
    <t xml:space="preserve">SPT-0305</t>
  </si>
  <si>
    <t xml:space="preserve">paralympics</t>
  </si>
  <si>
    <t xml:space="preserve">Lucy Ejike won three Paralympic gold medals in which sport?</t>
  </si>
  <si>
    <t xml:space="preserve">Powerlifting</t>
  </si>
  <si>
    <t xml:space="preserve">Table tennis</t>
  </si>
  <si>
    <t xml:space="preserve">Wheelchair tennis</t>
  </si>
  <si>
    <t xml:space="preserve">Archery</t>
  </si>
  <si>
    <t xml:space="preserve">The Enugu-born lifter won medals at six straight Paralympics, from Sydney 2000 to Tokyo 2020.</t>
  </si>
  <si>
    <t xml:space="preserve">https://en.wikipedia.org/wiki/Lucy_Ejike</t>
  </si>
  <si>
    <t xml:space="preserve">Lucy Ejike (Wikipedia)</t>
  </si>
  <si>
    <t xml:space="preserve">SPT-0306</t>
  </si>
  <si>
    <t xml:space="preserve">Nigeria's men won Olympic 4×400m relay gold at which Games?</t>
  </si>
  <si>
    <t xml:space="preserve">Sydney 2000</t>
  </si>
  <si>
    <t xml:space="preserve">Atlanta 1996</t>
  </si>
  <si>
    <t xml:space="preserve">Athens 2004</t>
  </si>
  <si>
    <t xml:space="preserve">Barcelona 1992</t>
  </si>
  <si>
    <t xml:space="preserve">The team in the final was Clement Chukwu, Jude Monye, Sunday Bada and Enefiok Udo-Obong.</t>
  </si>
  <si>
    <t xml:space="preserve">https://en.wikipedia.org/wiki/Athletics_at_the_2000_Summer_Olympics_%E2%80%93_Men%27s_4_%C3%97_400_metres_relay</t>
  </si>
  <si>
    <t xml:space="preserve">Athletics at the 2000 Olympics – Men's 4×400m relay (Wikipedia)</t>
  </si>
  <si>
    <t xml:space="preserve">Nigeria received this gold after another team was disqualified; the question avoids that, but consider whether it fits the no-doping rule.</t>
  </si>
  <si>
    <t xml:space="preserve">SPT-0307</t>
  </si>
  <si>
    <t xml:space="preserve">Who won Nigeria's only athletics medal at the Tokyo 2020 Olympics?</t>
  </si>
  <si>
    <t xml:space="preserve">Enoch Adegoke</t>
  </si>
  <si>
    <t xml:space="preserve">Divine Oduduru</t>
  </si>
  <si>
    <t xml:space="preserve">Brume took long jump bronze on 3 August 2021, the same day Blessing Oborududu won wrestling silver.</t>
  </si>
  <si>
    <t xml:space="preserve">https://en.wikipedia.org/wiki/Nigeria_at_the_2020_Summer_Olympics</t>
  </si>
  <si>
    <t xml:space="preserve">Nigeria at the 2020 Summer Olympics (Wikipedia)</t>
  </si>
  <si>
    <t xml:space="preserve">SPT-0308</t>
  </si>
  <si>
    <t xml:space="preserve">At Paris 2024, Mariam Eniola Bolaji won a Paralympic bronze in which sport?</t>
  </si>
  <si>
    <t xml:space="preserve">Badminton</t>
  </si>
  <si>
    <t xml:space="preserve">Athletics</t>
  </si>
  <si>
    <t xml:space="preserve">She became the first African player to win a badminton medal at either the Olympics or Paralympics.</t>
  </si>
  <si>
    <t xml:space="preserve">https://www.paralympic.org/paris-2024/feature/nigeria-mariam-eniola-bolaji-makes-her-mark</t>
  </si>
  <si>
    <t xml:space="preserve">Paralympic.org – Mariam Eniola Bolaji makes her mark</t>
  </si>
  <si>
    <t xml:space="preserve">SPT-0309</t>
  </si>
  <si>
    <t xml:space="preserve">As of October 2026, which state has won the National Sports Festival the most times?</t>
  </si>
  <si>
    <t xml:space="preserve">Delta</t>
  </si>
  <si>
    <t xml:space="preserve">Edo</t>
  </si>
  <si>
    <t xml:space="preserve">Rivers</t>
  </si>
  <si>
    <t xml:space="preserve">Before 1991, the old Bendel State, which covered today's Delta and Edo, won five titles of its own.</t>
  </si>
  <si>
    <t xml:space="preserve">SPT-0310</t>
  </si>
  <si>
    <t xml:space="preserve">In which city did Nigeria win its first ever Olympic medal, in 1964?</t>
  </si>
  <si>
    <t xml:space="preserve">Tokyo</t>
  </si>
  <si>
    <t xml:space="preserve">Rome</t>
  </si>
  <si>
    <t xml:space="preserve">Mexico City</t>
  </si>
  <si>
    <t xml:space="preserve">Melbourne</t>
  </si>
  <si>
    <t xml:space="preserve">Boxer Nojim Maiyegun won bronze in the light middleweight division.</t>
  </si>
  <si>
    <t xml:space="preserve">https://en.wikipedia.org/wiki/Nigeria_at_the_Olympics</t>
  </si>
  <si>
    <t xml:space="preserve">Nigeria at the Olympics (Wikipedia)</t>
  </si>
  <si>
    <t xml:space="preserve">SPT-0311</t>
  </si>
  <si>
    <t xml:space="preserve">At Glasgow 2026, Chukwuebuka Enekwechi won Commonwealth gold in which event?</t>
  </si>
  <si>
    <t xml:space="preserve">Shot put</t>
  </si>
  <si>
    <t xml:space="preserve">Discus throw</t>
  </si>
  <si>
    <t xml:space="preserve">Hammer throw</t>
  </si>
  <si>
    <t xml:space="preserve">Javelin throw</t>
  </si>
  <si>
    <t xml:space="preserve">He had won silver behind New Zealand's Tom Walsh at the Gold Coast 2018 Commonwealth Games.</t>
  </si>
  <si>
    <t xml:space="preserve">https://gazettengr.com/team-nigeria-finishes-top-ten-in-2026-glasgow-commonwealth-games/</t>
  </si>
  <si>
    <t xml:space="preserve">The Gazette – Team Nigeria finishes top ten at Glasgow 2026</t>
  </si>
  <si>
    <t xml:space="preserve">Glasgow 2026 result from Nigerian outlets; no official results page could be opened.</t>
  </si>
  <si>
    <t xml:space="preserve">SPT-0312</t>
  </si>
  <si>
    <t xml:space="preserve">Who won Olympic 400m bronze for Nigeria at Atlanta 1996?</t>
  </si>
  <si>
    <t xml:space="preserve">Falilat Ogunkoya</t>
  </si>
  <si>
    <t xml:space="preserve">Fatima Yusuf</t>
  </si>
  <si>
    <t xml:space="preserve">Charity Opara</t>
  </si>
  <si>
    <t xml:space="preserve">Olabisi Afolabi</t>
  </si>
  <si>
    <t xml:space="preserve">Her 49.10s was an African record, and she also won 4×400m relay silver at those Games.</t>
  </si>
  <si>
    <t xml:space="preserve">https://en.wikipedia.org/wiki/Falilat_Ogunkoya</t>
  </si>
  <si>
    <t xml:space="preserve">Falilat Ogunkoya (Wikipedia)</t>
  </si>
  <si>
    <t xml:space="preserve">SPT-0313</t>
  </si>
  <si>
    <t xml:space="preserve">athletics</t>
  </si>
  <si>
    <t xml:space="preserve">In 2021, long jumper Ese Brume broke whose 25-year-old African record?</t>
  </si>
  <si>
    <t xml:space="preserve">Chioma Ajunwa</t>
  </si>
  <si>
    <t xml:space="preserve">Blessing Okagbare</t>
  </si>
  <si>
    <t xml:space="preserve">Mary Onyali</t>
  </si>
  <si>
    <t xml:space="preserve">Glory Alozie</t>
  </si>
  <si>
    <t xml:space="preserve">Brume leapt 7.17m with her final jump at a meet in Chula Vista, California.</t>
  </si>
  <si>
    <t xml:space="preserve">https://von.gov.ng/ese-brume-breaks-chioma-ajunwas-25-year-long-jump-record/</t>
  </si>
  <si>
    <t xml:space="preserve">Voice of Nigeria – Ese Brume breaks Chioma Ajunwa's 25-year record</t>
  </si>
  <si>
    <t xml:space="preserve">SPT-0315</t>
  </si>
  <si>
    <t xml:space="preserve">Hurdler Tobi Amusan was born in which Ogun State town?</t>
  </si>
  <si>
    <t xml:space="preserve">Ota</t>
  </si>
  <si>
    <t xml:space="preserve">She has won Commonwealth 100m hurdles gold twice (2018, 2022) and the African Games title three times.</t>
  </si>
  <si>
    <t xml:space="preserve">https://en.wikipedia.org/wiki/Tobi_Amusan</t>
  </si>
  <si>
    <t xml:space="preserve">Tobi Amusan (Wikipedia)</t>
  </si>
  <si>
    <t xml:space="preserve">SPT-0316</t>
  </si>
  <si>
    <t xml:space="preserve">Which Nigerian city hosted the 2018 African Athletics Championships?</t>
  </si>
  <si>
    <t xml:space="preserve">Asaba</t>
  </si>
  <si>
    <t xml:space="preserve">Benin City</t>
  </si>
  <si>
    <t xml:space="preserve">Uyo</t>
  </si>
  <si>
    <t xml:space="preserve">Around 800 athletes from 52 countries competed at the Stephen Keshi Stadium.</t>
  </si>
  <si>
    <t xml:space="preserve">https://en.wikipedia.org/wiki/2018_African_Championships_in_Athletics</t>
  </si>
  <si>
    <t xml:space="preserve">2018 African Championships in Athletics (Wikipedia)</t>
  </si>
  <si>
    <t xml:space="preserve">SPT-0317</t>
  </si>
  <si>
    <t xml:space="preserve">Which Nigerian city hosted the 2nd All-Africa Games in 1973?</t>
  </si>
  <si>
    <t xml:space="preserve">36 nations took part, athletics was held at the National Stadium, and Nigeria won the football title.</t>
  </si>
  <si>
    <t xml:space="preserve">https://en.wikipedia.org/wiki/1973_All-Africa_Games</t>
  </si>
  <si>
    <t xml:space="preserve">1973 All-Africa Games (Wikipedia)</t>
  </si>
  <si>
    <t xml:space="preserve">SPT-0318</t>
  </si>
  <si>
    <t xml:space="preserve">Nigeria finished second at the 13th African Games in March 2024. Which city hosted them?</t>
  </si>
  <si>
    <t xml:space="preserve">Accra</t>
  </si>
  <si>
    <t xml:space="preserve">Rabat</t>
  </si>
  <si>
    <t xml:space="preserve">Brazzaville</t>
  </si>
  <si>
    <t xml:space="preserve">Maputo</t>
  </si>
  <si>
    <t xml:space="preserve">Nigeria won 47 golds and 121 medals in all; Egypt topped the table.</t>
  </si>
  <si>
    <t xml:space="preserve">https://en.wikipedia.org/wiki/2023_African_Games</t>
  </si>
  <si>
    <t xml:space="preserve">2023 African Games (Wikipedia)</t>
  </si>
  <si>
    <t xml:space="preserve">SPT-0319</t>
  </si>
  <si>
    <t xml:space="preserve">As of October 2026, which state is set to host the 2026 National Sports Festival?</t>
  </si>
  <si>
    <t xml:space="preserve">Ebonyi</t>
  </si>
  <si>
    <t xml:space="preserve">Branded the "Coal City Games", it is scheduled to open on 27 November 2026.</t>
  </si>
  <si>
    <t xml:space="preserve">https://leadership.ng/15-games-to-headline-2026-national-sports-festival-as-nsc-announces-opening-ceremony-date/</t>
  </si>
  <si>
    <t xml:space="preserve">Leadership – 15 games to headline 2026 National Sports Festival</t>
  </si>
  <si>
    <t xml:space="preserve">The festival opens on 27 November 2026; recheck if it is postponed or moved.</t>
  </si>
  <si>
    <t xml:space="preserve">SPT-0320</t>
  </si>
  <si>
    <t xml:space="preserve">At Glasgow 2026, who became the first Nigerian to win Commonwealth gold in the men's 400m hurdles?</t>
  </si>
  <si>
    <t xml:space="preserve">Ezekiel Nathaniel</t>
  </si>
  <si>
    <t xml:space="preserve">Samuel Ogazi</t>
  </si>
  <si>
    <t xml:space="preserve">Udodi Onwuzurike</t>
  </si>
  <si>
    <t xml:space="preserve">Favour Ashe</t>
  </si>
  <si>
    <t xml:space="preserve">He won in 48.47s, ahead of England's Jake Minshull, for Nigeria's first track gold of those Games.</t>
  </si>
  <si>
    <t xml:space="preserve">https://gazettengr.com/commonwealth-games-nathaniel-strikes-gold-in-mens-400m-hurdles-onwuzurike-clinches-200m-silver/</t>
  </si>
  <si>
    <t xml:space="preserve">The Gazette – Nathaniel strikes gold in men's 400m hurdles</t>
  </si>
  <si>
    <t xml:space="preserve">SPT-0321</t>
  </si>
  <si>
    <t xml:space="preserve">Lauritta Onye won Paralympic gold at Rio 2016 with a world record in which event?</t>
  </si>
  <si>
    <t xml:space="preserve">Her 8.40m throw in the F40 class was Nigeria's first athletics gold of those Games.</t>
  </si>
  <si>
    <t xml:space="preserve">https://thisdaylive.com/index.php/2016/09/13/onye-wins-team-nigerias-first-track-field-gold-medal</t>
  </si>
  <si>
    <t xml:space="preserve">ThisDay – Onye wins Team Nigeria's first track &amp; field gold</t>
  </si>
  <si>
    <t xml:space="preserve">SPT-0322</t>
  </si>
  <si>
    <t xml:space="preserve">Sprinter Mary Onyali became the first Nigerian to compete at how many Olympic Games?</t>
  </si>
  <si>
    <t xml:space="preserve">Four</t>
  </si>
  <si>
    <t xml:space="preserve">Three</t>
  </si>
  <si>
    <t xml:space="preserve">She ran at every Games from Seoul 1988 to Athens 2004, winning bronze medals in 1992 and 1996.</t>
  </si>
  <si>
    <t xml:space="preserve">https://en.wikipedia.org/wiki/Mary_Onyali-Omagbemi</t>
  </si>
  <si>
    <t xml:space="preserve">Mary Onyali-Omagbemi (Wikipedia)</t>
  </si>
  <si>
    <t xml:space="preserve">SPT-0323</t>
  </si>
  <si>
    <t xml:space="preserve">Who won Olympic 100m hurdles silver for Nigeria at Sydney 2000?</t>
  </si>
  <si>
    <t xml:space="preserve">Born in Amator, Abia State, Alozie had also won silver at the 1999 World Championships in Seville.</t>
  </si>
  <si>
    <t xml:space="preserve">https://en.wikipedia.org/wiki/Glory_Alozie</t>
  </si>
  <si>
    <t xml:space="preserve">Glory Alozie (Wikipedia)</t>
  </si>
  <si>
    <t xml:space="preserve">SPT-0324</t>
  </si>
  <si>
    <t xml:space="preserve">Nigeria won three gold medals on its Paralympic debut. At which Games was that?</t>
  </si>
  <si>
    <t xml:space="preserve">Seoul 1988</t>
  </si>
  <si>
    <t xml:space="preserve">Sprinter Adeoye Ajibola won the 100m and 200m, and Monday Emoghawve won powerlifting gold.</t>
  </si>
  <si>
    <t xml:space="preserve">https://en.wikipedia.org/wiki/Nigeria_at_the_1992_Summer_Paralympics</t>
  </si>
  <si>
    <t xml:space="preserve">Nigeria at the 1992 Summer Paralympics (Wikipedia)</t>
  </si>
  <si>
    <t xml:space="preserve">SPT-0325</t>
  </si>
  <si>
    <t xml:space="preserve">Which Nigerian city lost to Glasgow in the vote to host the 2014 Commonwealth Games?</t>
  </si>
  <si>
    <t xml:space="preserve">Glasgow won the 2007 vote in Colombo, Sri Lanka, by 47 votes to 24.</t>
  </si>
  <si>
    <t xml:space="preserve">https://en.wikipedia.org/wiki/Bids_for_the_2014_Commonwealth_Games</t>
  </si>
  <si>
    <t xml:space="preserve">Bids for the 2014 Commonwealth Games (Wikipedia)</t>
  </si>
  <si>
    <t xml:space="preserve">SPT-0326</t>
  </si>
  <si>
    <t xml:space="preserve">Who broke the world record twice to win women's 61kg powerlifting gold at the Paris 2024 Paralympics?</t>
  </si>
  <si>
    <t xml:space="preserve">Onyinyechi Mark</t>
  </si>
  <si>
    <t xml:space="preserve">Folashade Oluwafemiayo</t>
  </si>
  <si>
    <t xml:space="preserve">Bose Omolayo</t>
  </si>
  <si>
    <t xml:space="preserve">Esther Nworgu</t>
  </si>
  <si>
    <t xml:space="preserve">Aged 23 and making her Paralympic debut, she finished with a 150kg record lift at La Chapelle Arena.</t>
  </si>
  <si>
    <t xml:space="preserve">https://www.paralympic.org/paris-2024/feature/nigeria-onyinyechi-mark-debuts-historic-gold-record</t>
  </si>
  <si>
    <t xml:space="preserve">Paralympic.org – Onyinyechi Mark debuts with historic gold</t>
  </si>
  <si>
    <t xml:space="preserve">SPT-0327</t>
  </si>
  <si>
    <t xml:space="preserve">How many medals did Nigeria win at the Atlanta 1996 Olympics?</t>
  </si>
  <si>
    <t xml:space="preserve">Two golds, one silver and three bronze, with the golds from Chioma Ajunwa and the football Dream Team.</t>
  </si>
  <si>
    <t xml:space="preserve">SPT-0328</t>
  </si>
  <si>
    <t xml:space="preserve">Which Kaduna-born sprinter won 400m gold at the 1997 World Indoor Championships in Paris?</t>
  </si>
  <si>
    <t xml:space="preserve">Sunday Bada</t>
  </si>
  <si>
    <t xml:space="preserve">Innocent Egbunike</t>
  </si>
  <si>
    <t xml:space="preserve">Clement Chukwu</t>
  </si>
  <si>
    <t xml:space="preserve">Jude Monye</t>
  </si>
  <si>
    <t xml:space="preserve">His winning 45.51s was an African indoor record. He was also a nine-time Nigerian 400m champion.</t>
  </si>
  <si>
    <t xml:space="preserve">https://en.wikipedia.org/wiki/Sunday_Bada</t>
  </si>
  <si>
    <t xml:space="preserve">Sunday Bada (Wikipedia)</t>
  </si>
  <si>
    <t xml:space="preserve">SPT-0329</t>
  </si>
  <si>
    <t xml:space="preserve">Which city hosted the National Sports Festival in 1977 and again in 2009?</t>
  </si>
  <si>
    <t xml:space="preserve">Jos</t>
  </si>
  <si>
    <t xml:space="preserve">The 2009 edition was branded "KADA '09", and Delta State won the overall title.</t>
  </si>
  <si>
    <t xml:space="preserve">Only Wikipedia's editions table confirms the 1977 date.</t>
  </si>
  <si>
    <t xml:space="preserve">SPT-0330</t>
  </si>
  <si>
    <t xml:space="preserve">As hosts of the 2003 All-Africa Games, how many gold medals did Nigeria win?</t>
  </si>
  <si>
    <t xml:space="preserve">85</t>
  </si>
  <si>
    <t xml:space="preserve">Nigeria topped the table with 240 medals in all, ahead of Egypt on 80 golds.</t>
  </si>
  <si>
    <t xml:space="preserve">https://en.wikipedia.org/wiki/Nigeria_at_the_2003_All-Africa_Games</t>
  </si>
  <si>
    <t xml:space="preserve">Nigeria at the 2003 All-Africa Games (Wikipedia)</t>
  </si>
  <si>
    <t xml:space="preserve">SPT-0331</t>
  </si>
  <si>
    <t xml:space="preserve">In what year did Nigeria first compete at the Summer Olympics?</t>
  </si>
  <si>
    <t xml:space="preserve">1952</t>
  </si>
  <si>
    <t xml:space="preserve">Nigeria's Olympic debut came at the Helsinki Games in Finland.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</si>
</sst>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8751"/>
        <bgColor rgb="FF00808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875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751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sportsvillagesquare.com/?p=79212" TargetMode="External"/><Relationship Id="rId2" Type="http://schemas.openxmlformats.org/officeDocument/2006/relationships/hyperlink" Target="https://archivi.ng/the-archivist/stories/issue-4/green-eagles-of-nigeria-at-afcon-1980" TargetMode="External"/><Relationship Id="rId3" Type="http://schemas.openxmlformats.org/officeDocument/2006/relationships/hyperlink" Target="https://www.aljazeera.com/sports/2013/2/11/nigeria-triumphs-at-africa-cup-of-nations" TargetMode="External"/><Relationship Id="rId4" Type="http://schemas.openxmlformats.org/officeDocument/2006/relationships/hyperlink" Target="https://inside.fifa.com/en/news/worldcupathome-nigeria-italy-1994-baggio-comeback" TargetMode="External"/><Relationship Id="rId5" Type="http://schemas.openxmlformats.org/officeDocument/2006/relationships/hyperlink" Target="https://en.wikipedia.org/wiki/Jay-Jay_Okocha" TargetMode="External"/><Relationship Id="rId6" Type="http://schemas.openxmlformats.org/officeDocument/2006/relationships/hyperlink" Target="https://www.goal.com/en-us/news/nigerias-first-ever-world-cup-goal-and-the-five-most/blt4192f0869e6dcbd2" TargetMode="External"/><Relationship Id="rId7" Type="http://schemas.openxmlformats.org/officeDocument/2006/relationships/hyperlink" Target="https://www.legit.ng/sports/football/1690304-arsenal-legend-kanu-nwankwo-papilo-sends-strong-message-super-eagles-uganda-clash/" TargetMode="External"/><Relationship Id="rId8" Type="http://schemas.openxmlformats.org/officeDocument/2006/relationships/hyperlink" Target="https://www.aljazeera.com/sports/2013/2/11/nigeria-triumphs-at-africa-cup-of-nations" TargetMode="External"/><Relationship Id="rId9" Type="http://schemas.openxmlformats.org/officeDocument/2006/relationships/hyperlink" Target="https://sportsvillagesquare.com/2020/05/02/ex-super-eagles-manager-clemens-westerhof-clocks-80" TargetMode="External"/><Relationship Id="rId10" Type="http://schemas.openxmlformats.org/officeDocument/2006/relationships/hyperlink" Target="https://www.thescore.com/news/1552695" TargetMode="External"/><Relationship Id="rId11" Type="http://schemas.openxmlformats.org/officeDocument/2006/relationships/hyperlink" Target="https://www.aljazeera.com/sports/2018/1/23/stephen-keshi-why-google-honours-him-today" TargetMode="External"/><Relationship Id="rId12" Type="http://schemas.openxmlformats.org/officeDocument/2006/relationships/hyperlink" Target="https://www.aljazeera.com/sports/2013/2/11/nigeria-triumphs-at-africa-cup-of-nations" TargetMode="External"/><Relationship Id="rId13" Type="http://schemas.openxmlformats.org/officeDocument/2006/relationships/hyperlink" Target="https://www.thisdaylive.com/2022/10/01/emmanuel-amuneke-mission-to-zambia/" TargetMode="External"/><Relationship Id="rId14" Type="http://schemas.openxmlformats.org/officeDocument/2006/relationships/hyperlink" Target="https://www.planetfootball.com/nostalgia/jay-jay-okocha-nigeria-1998-world-cup-france-spain-skilla-assists" TargetMode="External"/><Relationship Id="rId15" Type="http://schemas.openxmlformats.org/officeDocument/2006/relationships/hyperlink" Target="https://inside.fifa.com/en/news/worldcupathome-nigeria-italy-1994-baggio-comeback" TargetMode="External"/><Relationship Id="rId16" Type="http://schemas.openxmlformats.org/officeDocument/2006/relationships/hyperlink" Target="https://www.cbsnews.com/amp/news/world-cup-2014-france-wins-a-deceptively-close-2-0-game-against-nigeria" TargetMode="External"/><Relationship Id="rId17" Type="http://schemas.openxmlformats.org/officeDocument/2006/relationships/hyperlink" Target="https://en.wikipedia.org/wiki/Jay-Jay_Okocha" TargetMode="External"/><Relationship Id="rId18" Type="http://schemas.openxmlformats.org/officeDocument/2006/relationships/hyperlink" Target="https://www.cafonline.com/caf-africa-cup-of-nations/news/totalenergies-caf-afcon-cote-d-ivoire-2023-awards/" TargetMode="External"/><Relationship Id="rId19" Type="http://schemas.openxmlformats.org/officeDocument/2006/relationships/hyperlink" Target="https://www.aljazeera.com/sports/2025/11/16/dr-congo-shock-nigeria-on-penalties-to-win-african-world-cup-playoffs" TargetMode="External"/><Relationship Id="rId20" Type="http://schemas.openxmlformats.org/officeDocument/2006/relationships/hyperlink" Target="https://www.arise.tv/nff-salutes-ahmed-musas-legacy-as-nigerias-most-capped-player-retires/" TargetMode="External"/><Relationship Id="rId21" Type="http://schemas.openxmlformats.org/officeDocument/2006/relationships/hyperlink" Target="https://archivi.ng/the-archivist/stories/issue-4/green-eagles-of-nigeria-at-afcon-1980" TargetMode="External"/><Relationship Id="rId22" Type="http://schemas.openxmlformats.org/officeDocument/2006/relationships/hyperlink" Target="https://nannews.ng/nigeria-lost-a-true-icon-in-chukwu-nsc-d-g/" TargetMode="External"/><Relationship Id="rId23" Type="http://schemas.openxmlformats.org/officeDocument/2006/relationships/hyperlink" Target="https://www.foxnews.com/sports/joseph-yobo-announces-international-retirement-after-scoring-own-goal-in-100th-cap-for-nigeria.amp" TargetMode="External"/><Relationship Id="rId24" Type="http://schemas.openxmlformats.org/officeDocument/2006/relationships/hyperlink" Target="https://www.beinsports.com/en-mena/articles-video/2018-fifa-world-cup-nigeria-beat-iceland-2-0-" TargetMode="External"/><Relationship Id="rId25" Type="http://schemas.openxmlformats.org/officeDocument/2006/relationships/hyperlink" Target="https://thewillnews.com/nigeria-register-biggest-ever-win-in-10-nil-thrashing-of-sao-tome/" TargetMode="External"/><Relationship Id="rId26" Type="http://schemas.openxmlformats.org/officeDocument/2006/relationships/hyperlink" Target="https://businessday.ng/news/article/rashidi-yekini-10-things-to-know-about-the-iconic-striker/" TargetMode="External"/><Relationship Id="rId27" Type="http://schemas.openxmlformats.org/officeDocument/2006/relationships/hyperlink" Target="https://www.planetfootball.com/nostalgia/jay-jay-okocha-nigeria-1998-world-cup-france-spain-skilla-assists" TargetMode="External"/><Relationship Id="rId28" Type="http://schemas.openxmlformats.org/officeDocument/2006/relationships/hyperlink" Target="https://sportsvillagesquare.com/2019/08/15/nigeria-burkina-faso-african-games-match-marks-70-years-since-uk-tourists-ventured-out/" TargetMode="External"/><Relationship Id="rId29" Type="http://schemas.openxmlformats.org/officeDocument/2006/relationships/hyperlink" Target="https://soccernet.ng/2016/02/julius-aghahowa-5-things-super-eagles.html" TargetMode="External"/><Relationship Id="rId30" Type="http://schemas.openxmlformats.org/officeDocument/2006/relationships/hyperlink" Target="https://soccernet.ng/2026/09/super-eagles-morocco-fifa-guinea-bissau.html" TargetMode="External"/><Relationship Id="rId31" Type="http://schemas.openxmlformats.org/officeDocument/2006/relationships/hyperlink" Target="https://www.asmonaco.com/en/news/victor-ikpeba-certain-beat-my-record" TargetMode="External"/><Relationship Id="rId32" Type="http://schemas.openxmlformats.org/officeDocument/2006/relationships/hyperlink" Target="https://archivi.ng/the-archivist/stories/issue-4/green-eagles-of-nigeria-at-afcon-1980" TargetMode="External"/><Relationship Id="rId33" Type="http://schemas.openxmlformats.org/officeDocument/2006/relationships/hyperlink" Target="https://www.nba.com/news/history-nba-legend-hakeem-olajuwon" TargetMode="External"/><Relationship Id="rId34" Type="http://schemas.openxmlformats.org/officeDocument/2006/relationships/hyperlink" Target="https://www.enca.com/lifestyle/eid-festivities-north-nigeria-make-unesco-heritage-list" TargetMode="External"/><Relationship Id="rId35" Type="http://schemas.openxmlformats.org/officeDocument/2006/relationships/hyperlink" Target="https://www.aljazeera.com/gallery/2026/2/15/nigerias-argungu-fishing-contest-marks-return-after-years-of-pause" TargetMode="External"/><Relationship Id="rId36" Type="http://schemas.openxmlformats.org/officeDocument/2006/relationships/hyperlink" Target="https://www.africanews.com/amp/2021/04/26/african-born-champions-take-over-ufc-by-storm/" TargetMode="External"/><Relationship Id="rId37" Type="http://schemas.openxmlformats.org/officeDocument/2006/relationships/hyperlink" Target="https://en.wikipedia.org/wiki/World_Scrabble_Championship_2015" TargetMode="External"/><Relationship Id="rId38" Type="http://schemas.openxmlformats.org/officeDocument/2006/relationships/hyperlink" Target="https://www.ufc.com/athlete/israel-adesanya" TargetMode="External"/><Relationship Id="rId39" Type="http://schemas.openxmlformats.org/officeDocument/2006/relationships/hyperlink" Target="https://www.ufc.com/athlete/kamaru-usman" TargetMode="External"/><Relationship Id="rId40" Type="http://schemas.openxmlformats.org/officeDocument/2006/relationships/hyperlink" Target="https://andscape.com/features/bucks-giannis-antetokounmpo-greek-freak-wants-to-go-back-to-his-nigerian-roots" TargetMode="External"/><Relationship Id="rId41" Type="http://schemas.openxmlformats.org/officeDocument/2006/relationships/hyperlink" Target="https://www.icirnigeria.org/tunde-onakoya-sets-new-gwr-with-64-hour-chess-marathon-in-new-york/" TargetMode="External"/><Relationship Id="rId42" Type="http://schemas.openxmlformats.org/officeDocument/2006/relationships/hyperlink" Target="https://www.boston.com/sports/olympics/2018/02/20/nigeria-savors-its-olympic-bobsled-debut-moment/" TargetMode="External"/><Relationship Id="rId43" Type="http://schemas.openxmlformats.org/officeDocument/2006/relationships/hyperlink" Target="https://en.wikipedia.org/wiki/Chika_Chukwumerije" TargetMode="External"/><Relationship Id="rId44" Type="http://schemas.openxmlformats.org/officeDocument/2006/relationships/hyperlink" Target="https://en.wikipedia.org/wiki/Dick_Tiger" TargetMode="External"/><Relationship Id="rId45" Type="http://schemas.openxmlformats.org/officeDocument/2006/relationships/hyperlink" Target="https://en.wikipedia.org/wiki/Hogan_Bassey" TargetMode="External"/><Relationship Id="rId46" Type="http://schemas.openxmlformats.org/officeDocument/2006/relationships/hyperlink" Target="https://en.wikipedia.org/wiki/Anthony_Joshua" TargetMode="External"/><Relationship Id="rId47" Type="http://schemas.openxmlformats.org/officeDocument/2006/relationships/hyperlink" Target="https://en.wikipedia.org/wiki/Masai_Ujiri" TargetMode="External"/><Relationship Id="rId48" Type="http://schemas.openxmlformats.org/officeDocument/2006/relationships/hyperlink" Target="https://en.wikipedia.org/wiki/2021_BAL_season" TargetMode="External"/><Relationship Id="rId49" Type="http://schemas.openxmlformats.org/officeDocument/2006/relationships/hyperlink" Target="https://en.wikipedia.org/wiki/Dambe" TargetMode="External"/><Relationship Id="rId50" Type="http://schemas.openxmlformats.org/officeDocument/2006/relationships/hyperlink" Target="https://en.wikipedia.org/wiki/Lutte_Traditionnelle" TargetMode="External"/><Relationship Id="rId51" Type="http://schemas.openxmlformats.org/officeDocument/2006/relationships/hyperlink" Target="https://en.wikipedia.org/wiki/Blessing_Oborududu" TargetMode="External"/><Relationship Id="rId52" Type="http://schemas.openxmlformats.org/officeDocument/2006/relationships/hyperlink" Target="https://en.wikipedia.org/wiki/Daniel_Igali" TargetMode="External"/><Relationship Id="rId53" Type="http://schemas.openxmlformats.org/officeDocument/2006/relationships/hyperlink" Target="https://www.guinnessworldrecords.com/world-records/longest-chess-marathon" TargetMode="External"/><Relationship Id="rId54" Type="http://schemas.openxmlformats.org/officeDocument/2006/relationships/hyperlink" Target="https://www.liverpoolfootprint.co.uk/boxers" TargetMode="External"/><Relationship Id="rId55" Type="http://schemas.openxmlformats.org/officeDocument/2006/relationships/hyperlink" Target="https://en.wikipedia.org/wiki/2012_FIBA_World_Olympic_Qualifying_Tournament_for_Men" TargetMode="External"/><Relationship Id="rId56" Type="http://schemas.openxmlformats.org/officeDocument/2006/relationships/hyperlink" Target="https://en.wikipedia.org/wiki/Quadri_Aruna" TargetMode="External"/><Relationship Id="rId57" Type="http://schemas.openxmlformats.org/officeDocument/2006/relationships/hyperlink" Target="https://www.olympedia.org/athletes/1014" TargetMode="External"/><Relationship Id="rId58" Type="http://schemas.openxmlformats.org/officeDocument/2006/relationships/hyperlink" Target="https://en.wikipedia.org/wiki/Odunayo_Adekuoroye" TargetMode="External"/><Relationship Id="rId59" Type="http://schemas.openxmlformats.org/officeDocument/2006/relationships/hyperlink" Target="https://newtelegraphng.com/?p=444625" TargetMode="External"/><Relationship Id="rId60" Type="http://schemas.openxmlformats.org/officeDocument/2006/relationships/hyperlink" Target="https://en.wikipedia.org/wiki/Samuel_Peter" TargetMode="External"/><Relationship Id="rId61" Type="http://schemas.openxmlformats.org/officeDocument/2006/relationships/hyperlink" Target="https://www.fiba.basketball/en/events/fiba-womens-afrobasket-qualifiers-2027/all-time-medalists-" TargetMode="External"/><Relationship Id="rId62" Type="http://schemas.openxmlformats.org/officeDocument/2006/relationships/hyperlink" Target="https://www.infobae.com/aroundtherings/federations/2021/07/12/nigeria-beat-angola-in-afrobasket-2015-final-to-win-first-ever-continental-title" TargetMode="External"/><Relationship Id="rId63" Type="http://schemas.openxmlformats.org/officeDocument/2006/relationships/hyperlink" Target="https://www.olympedia.org/athletes/1023" TargetMode="External"/><Relationship Id="rId64" Type="http://schemas.openxmlformats.org/officeDocument/2006/relationships/hyperlink" Target="https://thisdaylive.com/index.php/2022/07/30/birmingham-2022-olarinoye-wins-nigerias-first-gold-medal" TargetMode="External"/><Relationship Id="rId65" Type="http://schemas.openxmlformats.org/officeDocument/2006/relationships/hyperlink" Target="https://en.wikipedia.org/wiki/Enyimba_International_F.C." TargetMode="External"/><Relationship Id="rId66" Type="http://schemas.openxmlformats.org/officeDocument/2006/relationships/hyperlink" Target="https://thisdaylive.com/index.php/2016/09/05/npfl-rangers-hammer-rivers-united-to-go-top" TargetMode="External"/><Relationship Id="rId67" Type="http://schemas.openxmlformats.org/officeDocument/2006/relationships/hyperlink" Target="https://www.premierleague.com/news/2284536" TargetMode="External"/><Relationship Id="rId68" Type="http://schemas.openxmlformats.org/officeDocument/2006/relationships/hyperlink" Target="https://www.goal.com/en-gb/news/victor-osimhen-becomes-first-african-player-to-win-serie-a-golden-boot-but-has-man-utd-linked-striker-played-his-final-game-for-napoli/blt6595f4f1f4d88449" TargetMode="External"/><Relationship Id="rId69" Type="http://schemas.openxmlformats.org/officeDocument/2006/relationships/hyperlink" Target="https://en.wikipedia.org/wiki/Moshood_Abiola_National_Stadium" TargetMode="External"/><Relationship Id="rId70" Type="http://schemas.openxmlformats.org/officeDocument/2006/relationships/hyperlink" Target="https://thisdaylive.com/index.php/2024/12/15/npfl-kano-pillars-crumble-under-shooting-stars" TargetMode="External"/><Relationship Id="rId71" Type="http://schemas.openxmlformats.org/officeDocument/2006/relationships/hyperlink" Target="https://en.wikipedia.org/wiki/Kano_Pillars_F.C." TargetMode="External"/><Relationship Id="rId72" Type="http://schemas.openxmlformats.org/officeDocument/2006/relationships/hyperlink" Target="https://leadership.ng/kaduna-state-takes-helm-of-ahmadu-bello-stadium-for-major-redevelopment/" TargetMode="External"/><Relationship Id="rId73" Type="http://schemas.openxmlformats.org/officeDocument/2006/relationships/hyperlink" Target="https://www.aljazeera.com/sports/2024/5/23/europa-league-final-nigerias-lookman-the-hero-as-atalanta-stun-leverkusen" TargetMode="External"/><Relationship Id="rId74" Type="http://schemas.openxmlformats.org/officeDocument/2006/relationships/hyperlink" Target="https://www.planetfootball.com/nostalgia/tribute-amazing-jay-jay-okocha-great-bolton-team" TargetMode="External"/><Relationship Id="rId75" Type="http://schemas.openxmlformats.org/officeDocument/2006/relationships/hyperlink" Target="https://en.wikipedia.org/wiki/Adokiye_Amiesimaka_Stadium" TargetMode="External"/><Relationship Id="rId76" Type="http://schemas.openxmlformats.org/officeDocument/2006/relationships/hyperlink" Target="https://en.wikipedia.org/wiki/2003_CAF_Champions_League_final" TargetMode="External"/><Relationship Id="rId77" Type="http://schemas.openxmlformats.org/officeDocument/2006/relationships/hyperlink" Target="https://en.wikipedia.org/wiki/Heartland_F.C." TargetMode="External"/><Relationship Id="rId78" Type="http://schemas.openxmlformats.org/officeDocument/2006/relationships/hyperlink" Target="https://www.primebusiness.africa/as-super-eagles-fly-home-to-the-nest/" TargetMode="External"/><Relationship Id="rId79" Type="http://schemas.openxmlformats.org/officeDocument/2006/relationships/hyperlink" Target="https://en.wikipedia.org/wiki/2021&#8211;22_Nigeria_Professional_Football_League" TargetMode="External"/><Relationship Id="rId80" Type="http://schemas.openxmlformats.org/officeDocument/2006/relationships/hyperlink" Target="https://dailytrust.com/how-soon-will-lobi-stars-return-home/" TargetMode="External"/><Relationship Id="rId81" Type="http://schemas.openxmlformats.org/officeDocument/2006/relationships/hyperlink" Target="https://www.flashscore.com/news/el-kanemi-warriors-beat-abia-warriors-to-win-president-federation-cup/801JXETk" TargetMode="External"/><Relationship Id="rId82" Type="http://schemas.openxmlformats.org/officeDocument/2006/relationships/hyperlink" Target="https://www.premierleague.com/news/2284536" TargetMode="External"/><Relationship Id="rId83" Type="http://schemas.openxmlformats.org/officeDocument/2006/relationships/hyperlink" Target="https://www.goal.com/en-ng/news/nigerias-first-ever-world-cup-goal-rashidi-yekinis-five-most/bltc027164d12c41895" TargetMode="External"/><Relationship Id="rId84" Type="http://schemas.openxmlformats.org/officeDocument/2006/relationships/hyperlink" Target="https://sportsvillagesquare.com/2019/12/03/onikan-stadium-renamed-after-1st-lagos-governor-mobolaji-johnson/" TargetMode="External"/><Relationship Id="rId85" Type="http://schemas.openxmlformats.org/officeDocument/2006/relationships/hyperlink" Target="https://www.flashscore.com/news/soccer-npfl-remo-stars-secure-place-among-npfl-s-elite-after-first-ever-title-triumph/4In8PRIN" TargetMode="External"/><Relationship Id="rId86" Type="http://schemas.openxmlformats.org/officeDocument/2006/relationships/hyperlink" Target="https://en.wikipedia.org/wiki/2004_CAF_Champions_League" TargetMode="External"/><Relationship Id="rId87" Type="http://schemas.openxmlformats.org/officeDocument/2006/relationships/hyperlink" Target="https://en.wikipedia.org/wiki/Shooting_Stars_S.C." TargetMode="External"/><Relationship Id="rId88" Type="http://schemas.openxmlformats.org/officeDocument/2006/relationships/hyperlink" Target="https://sportsvillagesquare.com/2024/03/11/sixty-six-years-after-foundation-laying-liberty-stadium-lives-on-glorious-past" TargetMode="External"/><Relationship Id="rId89" Type="http://schemas.openxmlformats.org/officeDocument/2006/relationships/hyperlink" Target="https://sscnapoli.it/en/osimhen-capocannoniere-e-primo-calciatore-africano-a-segnare-26-reti-in-un-solo-campionato-di-serie-a/" TargetMode="External"/><Relationship Id="rId90" Type="http://schemas.openxmlformats.org/officeDocument/2006/relationships/hyperlink" Target="https://www.bellanaija.com/?p=493401" TargetMode="External"/><Relationship Id="rId91" Type="http://schemas.openxmlformats.org/officeDocument/2006/relationships/hyperlink" Target="https://www.asmonaco.com/en/news/victor-ikpeba-certain-beat-my-record" TargetMode="External"/><Relationship Id="rId92" Type="http://schemas.openxmlformats.org/officeDocument/2006/relationships/hyperlink" Target="https://en.wikipedia.org/wiki/BCC_Lions_F.C." TargetMode="External"/><Relationship Id="rId93" Type="http://schemas.openxmlformats.org/officeDocument/2006/relationships/hyperlink" Target="https://en.wikipedia.org/wiki/Kadiri_Ikhana" TargetMode="External"/><Relationship Id="rId94" Type="http://schemas.openxmlformats.org/officeDocument/2006/relationships/hyperlink" Target="https://en.wikipedia.org/wiki/Rivers_United_F.C." TargetMode="External"/><Relationship Id="rId95" Type="http://schemas.openxmlformats.org/officeDocument/2006/relationships/hyperlink" Target="https://en.wikipedia.org/wiki/Jay-Jay_Okocha" TargetMode="External"/><Relationship Id="rId96" Type="http://schemas.openxmlformats.org/officeDocument/2006/relationships/hyperlink" Target="https://en.wikipedia.org/wiki/1994_CAF_Cup" TargetMode="External"/><Relationship Id="rId97" Type="http://schemas.openxmlformats.org/officeDocument/2006/relationships/hyperlink" Target="https://www.cafonline.com/caf-womens-africa-cup-of-nations/news/justine-madugu-how-wafcon-2024-success-changed-my-life/" TargetMode="External"/><Relationship Id="rId98" Type="http://schemas.openxmlformats.org/officeDocument/2006/relationships/hyperlink" Target="https://en.wikipedia.org/wiki/Women%27s_Africa_Cup_of_Nations" TargetMode="External"/><Relationship Id="rId99" Type="http://schemas.openxmlformats.org/officeDocument/2006/relationships/hyperlink" Target="https://allafrica.com/stories/202511200443.html" TargetMode="External"/><Relationship Id="rId100" Type="http://schemas.openxmlformats.org/officeDocument/2006/relationships/hyperlink" Target="https://www.africanews.com/amp/2023/07/27/womens-world-cup-nigeria-beats-australia-3-2-in-shock-win/" TargetMode="External"/><Relationship Id="rId101" Type="http://schemas.openxmlformats.org/officeDocument/2006/relationships/hyperlink" Target="https://www.cafonline.com/caf-womens-africa-cup-of-nations/news/nigeria-produce-stunning-comeback-to-beat-morocco-and-win-10th-wafcon-title/" TargetMode="External"/><Relationship Id="rId102" Type="http://schemas.openxmlformats.org/officeDocument/2006/relationships/hyperlink" Target="https://radionigerialagos.gov.ng/asisat-oshoala-makes-history-as-first-african-woman-to-win-champions-league/" TargetMode="External"/><Relationship Id="rId103" Type="http://schemas.openxmlformats.org/officeDocument/2006/relationships/hyperlink" Target="https://en.wikipedia.org/wiki/Nigeria_women%27s_national_football_team" TargetMode="External"/><Relationship Id="rId104" Type="http://schemas.openxmlformats.org/officeDocument/2006/relationships/hyperlink" Target="https://www.africanews.com/amp/2023/07/21/womens-world-cup-nigeria-hooks-canada-heroic-nnadozie/" TargetMode="External"/><Relationship Id="rId105" Type="http://schemas.openxmlformats.org/officeDocument/2006/relationships/hyperlink" Target="https://panafricafootball.com/article/nigeria-dominate-wafcon-2024-individual-awards" TargetMode="External"/><Relationship Id="rId106" Type="http://schemas.openxmlformats.org/officeDocument/2006/relationships/hyperlink" Target="https://allafrica.com/stories/202511200443.html" TargetMode="External"/><Relationship Id="rId107" Type="http://schemas.openxmlformats.org/officeDocument/2006/relationships/hyperlink" Target="https://www.arise.tv/super-falcons-stage-thrilling-comeback-to-win-record-10th-wafcon-title-against-hosts-morocco" TargetMode="External"/><Relationship Id="rId108" Type="http://schemas.openxmlformats.org/officeDocument/2006/relationships/hyperlink" Target="https://inside.fifa.com/news/akide-remembers-nigeria-s-amazing-1999-adventure-2804713" TargetMode="External"/><Relationship Id="rId109" Type="http://schemas.openxmlformats.org/officeDocument/2006/relationships/hyperlink" Target="https://www.cafonline.com/caf-womens-africa-cup-of-nations/news/6-days-to-go-until-the-women-s-afcon-perpetua-nkwocha-the-queen-of-johannesburg/" TargetMode="External"/><Relationship Id="rId110" Type="http://schemas.openxmlformats.org/officeDocument/2006/relationships/hyperlink" Target="https://www.cafonline.com/caf-womens-africa-cup-of-nations/news/nigeria-s-winning-spirit-through-generations-from-trailblazers-to-torchbearers/" TargetMode="External"/><Relationship Id="rId111" Type="http://schemas.openxmlformats.org/officeDocument/2006/relationships/hyperlink" Target="https://ripplesnigeria.com/golden-eaglets-retain-u-17-world-cup" TargetMode="External"/><Relationship Id="rId112" Type="http://schemas.openxmlformats.org/officeDocument/2006/relationships/hyperlink" Target="https://www.aljazeera.com/sports/2013/11/9/nigeria-crowned-under-17-world-cup-champions" TargetMode="External"/><Relationship Id="rId113" Type="http://schemas.openxmlformats.org/officeDocument/2006/relationships/hyperlink" Target="https://www.fcbarcelona.com/en/news/1096460/years-since-argentina-and-leo-messi-won-u-world-cup" TargetMode="External"/><Relationship Id="rId114" Type="http://schemas.openxmlformats.org/officeDocument/2006/relationships/hyperlink" Target="https://sportsvillagesquare.com/2020/08/11/this-day-in-history-nigeria-rule-the-world" TargetMode="External"/><Relationship Id="rId115" Type="http://schemas.openxmlformats.org/officeDocument/2006/relationships/hyperlink" Target="https://www.soccerwire.com/news/nigerians-wins-fifa-u-17-world-cup-final-2-0-over-mali/" TargetMode="External"/><Relationship Id="rId116" Type="http://schemas.openxmlformats.org/officeDocument/2006/relationships/hyperlink" Target="https://equalizersoccer.com/2014/08/24/germany-beats-nigeria-wins-fifa-u-20-womens-world-cup-canada-extra-time/" TargetMode="External"/><Relationship Id="rId117" Type="http://schemas.openxmlformats.org/officeDocument/2006/relationships/hyperlink" Target="https://en.wikipedia.org/wiki/2009_FIFA_U-17_World_Cup" TargetMode="External"/><Relationship Id="rId118" Type="http://schemas.openxmlformats.org/officeDocument/2006/relationships/hyperlink" Target="https://en.wikipedia.org/wiki/1993_FIFA_U-17_World_Championship" TargetMode="External"/><Relationship Id="rId119" Type="http://schemas.openxmlformats.org/officeDocument/2006/relationships/hyperlink" Target="https://en.wikipedia.org/wiki/Miracle_of_Dammam" TargetMode="External"/><Relationship Id="rId120" Type="http://schemas.openxmlformats.org/officeDocument/2006/relationships/hyperlink" Target="https://thisdaylive.com/index.php/2023/04/27/ugbade-dreams-making-history-as-first-u17-winner-and-coach" TargetMode="External"/><Relationship Id="rId121" Type="http://schemas.openxmlformats.org/officeDocument/2006/relationships/hyperlink" Target="https://en.wikipedia.org/wiki/1993_FIFA_U-17_World_Championship" TargetMode="External"/><Relationship Id="rId122" Type="http://schemas.openxmlformats.org/officeDocument/2006/relationships/hyperlink" Target="https://thisdaylive.com/index.php/2022/10/30/gallant-flamingos-beat-germany-to-win-u17-world-cup-bronze" TargetMode="External"/><Relationship Id="rId123" Type="http://schemas.openxmlformats.org/officeDocument/2006/relationships/hyperlink" Target="https://en.wikipedia.org/wiki/Football_at_the_1996_Summer_Olympics_&#8211;_Men%27s_tournament" TargetMode="External"/><Relationship Id="rId124" Type="http://schemas.openxmlformats.org/officeDocument/2006/relationships/hyperlink" Target="https://www.olympedia.org/results/34098" TargetMode="External"/><Relationship Id="rId125" Type="http://schemas.openxmlformats.org/officeDocument/2006/relationships/hyperlink" Target="https://inside.fifa.com/en/news/africa-s-golden-olympic-history" TargetMode="External"/><Relationship Id="rId126" Type="http://schemas.openxmlformats.org/officeDocument/2006/relationships/hyperlink" Target="https://inside.fifa.com/en/news/africa-s-golden-olympic-history" TargetMode="External"/><Relationship Id="rId127" Type="http://schemas.openxmlformats.org/officeDocument/2006/relationships/hyperlink" Target="https://thisdaylive.com/index.php/2016/08/13/oghenekaro-eteboeye-on-olympic-gold" TargetMode="External"/><Relationship Id="rId128" Type="http://schemas.openxmlformats.org/officeDocument/2006/relationships/hyperlink" Target="https://en.wikipedia.org/wiki/Football_at_the_1996_Summer_Olympics_&#8211;_Men%27s_tournament" TargetMode="External"/><Relationship Id="rId129" Type="http://schemas.openxmlformats.org/officeDocument/2006/relationships/hyperlink" Target="https://en.wikipedia.org/wiki/Chioma_Ajunwa" TargetMode="External"/><Relationship Id="rId130" Type="http://schemas.openxmlformats.org/officeDocument/2006/relationships/hyperlink" Target="https://en.wikipedia.org/wiki/2003_All-Africa_Games" TargetMode="External"/><Relationship Id="rId131" Type="http://schemas.openxmlformats.org/officeDocument/2006/relationships/hyperlink" Target="https://en.wikipedia.org/wiki/Nigerian_National_Sports_Festival" TargetMode="External"/><Relationship Id="rId132" Type="http://schemas.openxmlformats.org/officeDocument/2006/relationships/hyperlink" Target="https://en.wikipedia.org/wiki/Blessing_Oborududu" TargetMode="External"/><Relationship Id="rId133" Type="http://schemas.openxmlformats.org/officeDocument/2006/relationships/hyperlink" Target="https://en.wikipedia.org/wiki/Lucy_Ejike" TargetMode="External"/><Relationship Id="rId134" Type="http://schemas.openxmlformats.org/officeDocument/2006/relationships/hyperlink" Target="https://en.wikipedia.org/wiki/Athletics_at_the_2000_Summer_Olympics_&#8211;_Men%27s_4_&#215;_400_metres_relay" TargetMode="External"/><Relationship Id="rId135" Type="http://schemas.openxmlformats.org/officeDocument/2006/relationships/hyperlink" Target="https://en.wikipedia.org/wiki/Nigeria_at_the_2020_Summer_Olympics" TargetMode="External"/><Relationship Id="rId136" Type="http://schemas.openxmlformats.org/officeDocument/2006/relationships/hyperlink" Target="https://www.paralympic.org/paris-2024/feature/nigeria-mariam-eniola-bolaji-makes-her-mark" TargetMode="External"/><Relationship Id="rId137" Type="http://schemas.openxmlformats.org/officeDocument/2006/relationships/hyperlink" Target="https://en.wikipedia.org/wiki/Nigerian_National_Sports_Festival" TargetMode="External"/><Relationship Id="rId138" Type="http://schemas.openxmlformats.org/officeDocument/2006/relationships/hyperlink" Target="https://en.wikipedia.org/wiki/Nigeria_at_the_Olympics" TargetMode="External"/><Relationship Id="rId139" Type="http://schemas.openxmlformats.org/officeDocument/2006/relationships/hyperlink" Target="https://gazettengr.com/team-nigeria-finishes-top-ten-in-2026-glasgow-commonwealth-games/" TargetMode="External"/><Relationship Id="rId140" Type="http://schemas.openxmlformats.org/officeDocument/2006/relationships/hyperlink" Target="https://en.wikipedia.org/wiki/Falilat_Ogunkoya" TargetMode="External"/><Relationship Id="rId141" Type="http://schemas.openxmlformats.org/officeDocument/2006/relationships/hyperlink" Target="https://von.gov.ng/ese-brume-breaks-chioma-ajunwas-25-year-long-jump-record/" TargetMode="External"/><Relationship Id="rId142" Type="http://schemas.openxmlformats.org/officeDocument/2006/relationships/hyperlink" Target="https://en.wikipedia.org/wiki/Tobi_Amusan" TargetMode="External"/><Relationship Id="rId143" Type="http://schemas.openxmlformats.org/officeDocument/2006/relationships/hyperlink" Target="https://en.wikipedia.org/wiki/2018_African_Championships_in_Athletics" TargetMode="External"/><Relationship Id="rId144" Type="http://schemas.openxmlformats.org/officeDocument/2006/relationships/hyperlink" Target="https://en.wikipedia.org/wiki/1973_All-Africa_Games" TargetMode="External"/><Relationship Id="rId145" Type="http://schemas.openxmlformats.org/officeDocument/2006/relationships/hyperlink" Target="https://en.wikipedia.org/wiki/2023_African_Games" TargetMode="External"/><Relationship Id="rId146" Type="http://schemas.openxmlformats.org/officeDocument/2006/relationships/hyperlink" Target="https://leadership.ng/15-games-to-headline-2026-national-sports-festival-as-nsc-announces-opening-ceremony-date/" TargetMode="External"/><Relationship Id="rId147" Type="http://schemas.openxmlformats.org/officeDocument/2006/relationships/hyperlink" Target="https://gazettengr.com/commonwealth-games-nathaniel-strikes-gold-in-mens-400m-hurdles-onwuzurike-clinches-200m-silver/" TargetMode="External"/><Relationship Id="rId148" Type="http://schemas.openxmlformats.org/officeDocument/2006/relationships/hyperlink" Target="https://thisdaylive.com/index.php/2016/09/13/onye-wins-team-nigerias-first-track-field-gold-medal" TargetMode="External"/><Relationship Id="rId149" Type="http://schemas.openxmlformats.org/officeDocument/2006/relationships/hyperlink" Target="https://en.wikipedia.org/wiki/Mary_Onyali-Omagbemi" TargetMode="External"/><Relationship Id="rId150" Type="http://schemas.openxmlformats.org/officeDocument/2006/relationships/hyperlink" Target="https://en.wikipedia.org/wiki/Glory_Alozie" TargetMode="External"/><Relationship Id="rId151" Type="http://schemas.openxmlformats.org/officeDocument/2006/relationships/hyperlink" Target="https://en.wikipedia.org/wiki/Nigeria_at_the_1992_Summer_Paralympics" TargetMode="External"/><Relationship Id="rId152" Type="http://schemas.openxmlformats.org/officeDocument/2006/relationships/hyperlink" Target="https://en.wikipedia.org/wiki/Bids_for_the_2014_Commonwealth_Games" TargetMode="External"/><Relationship Id="rId153" Type="http://schemas.openxmlformats.org/officeDocument/2006/relationships/hyperlink" Target="https://www.paralympic.org/paris-2024/feature/nigeria-onyinyechi-mark-debuts-historic-gold-record" TargetMode="External"/><Relationship Id="rId154" Type="http://schemas.openxmlformats.org/officeDocument/2006/relationships/hyperlink" Target="https://en.wikipedia.org/wiki/Nigeria_at_the_Olympics" TargetMode="External"/><Relationship Id="rId155" Type="http://schemas.openxmlformats.org/officeDocument/2006/relationships/hyperlink" Target="https://en.wikipedia.org/wiki/Sunday_Bada" TargetMode="External"/><Relationship Id="rId156" Type="http://schemas.openxmlformats.org/officeDocument/2006/relationships/hyperlink" Target="https://en.wikipedia.org/wiki/Nigerian_National_Sports_Festival" TargetMode="External"/><Relationship Id="rId157" Type="http://schemas.openxmlformats.org/officeDocument/2006/relationships/hyperlink" Target="https://en.wikipedia.org/wiki/Nigeria_at_the_2003_All-Africa_Games" TargetMode="External"/><Relationship Id="rId158" Type="http://schemas.openxmlformats.org/officeDocument/2006/relationships/hyperlink" Target="https://en.wikipedia.org/wiki/Nigeria_at_the_Olympics" TargetMode="External"/><Relationship Id="rId159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2" t="s">
        <v>10</v>
      </c>
      <c r="B5" s="2" t="n">
        <f aca="false">COUNTA(Slang!A:A)-1</f>
        <v>0</v>
      </c>
      <c r="C5" s="2" t="n">
        <f aca="false">COUNTIF(Slang!T:T,"to check")</f>
        <v>0</v>
      </c>
      <c r="D5" s="2" t="n">
        <f aca="false">COUNTIF(Slang!T:T,"approved")</f>
        <v>0</v>
      </c>
      <c r="E5" s="2" t="n">
        <f aca="false">COUNTIF(Slang!T:T,"fix needed")</f>
        <v>0</v>
      </c>
      <c r="F5" s="2" t="n">
        <f aca="false">COUNTIF(Slang!T:T,"rejected")</f>
        <v>0</v>
      </c>
      <c r="G5" s="4" t="n">
        <v>600</v>
      </c>
      <c r="H5" s="5" t="n">
        <f aca="false">IF(G5=0,0,D5/G5)</f>
        <v>0</v>
      </c>
    </row>
    <row r="6" customFormat="false" ht="15" hidden="false" customHeight="false" outlineLevel="0" collapsed="false">
      <c r="A6" s="2" t="s">
        <v>11</v>
      </c>
      <c r="B6" s="2" t="n">
        <f aca="false">COUNTA(Nollywood!A:A)-1</f>
        <v>0</v>
      </c>
      <c r="C6" s="2" t="n">
        <f aca="false">COUNTIF(Nollywood!T:T,"to check")</f>
        <v>0</v>
      </c>
      <c r="D6" s="2" t="n">
        <f aca="false">COUNTIF(Nollywood!T:T,"approved")</f>
        <v>0</v>
      </c>
      <c r="E6" s="2" t="n">
        <f aca="false">COUNTIF(Nollywood!T:T,"fix needed")</f>
        <v>0</v>
      </c>
      <c r="F6" s="2" t="n">
        <f aca="false">COUNTIF(Nollywood!T:T,"rejected")</f>
        <v>0</v>
      </c>
      <c r="G6" s="4" t="n">
        <v>600</v>
      </c>
      <c r="H6" s="5" t="n">
        <f aca="false">IF(G6=0,0,D6/G6)</f>
        <v>0</v>
      </c>
    </row>
    <row r="7" customFormat="false" ht="15" hidden="false" customHeight="false" outlineLevel="0" collapsed="false">
      <c r="A7" s="2" t="s">
        <v>12</v>
      </c>
      <c r="B7" s="2" t="n">
        <f aca="false">COUNTA(Music!A:A)-1</f>
        <v>0</v>
      </c>
      <c r="C7" s="2" t="n">
        <f aca="false">COUNTIF(Music!T:T,"to check")</f>
        <v>0</v>
      </c>
      <c r="D7" s="2" t="n">
        <f aca="false">COUNTIF(Music!T:T,"approved")</f>
        <v>0</v>
      </c>
      <c r="E7" s="2" t="n">
        <f aca="false">COUNTIF(Music!T:T,"fix needed")</f>
        <v>0</v>
      </c>
      <c r="F7" s="2" t="n">
        <f aca="false">COUNTIF(Music!T:T,"rejected")</f>
        <v>0</v>
      </c>
      <c r="G7" s="4" t="n">
        <v>600</v>
      </c>
      <c r="H7" s="5" t="n">
        <f aca="false">IF(G7=0,0,D7/G7)</f>
        <v>0</v>
      </c>
    </row>
    <row r="8" customFormat="false" ht="15" hidden="false" customHeight="false" outlineLevel="0" collapsed="false">
      <c r="A8" s="2" t="s">
        <v>13</v>
      </c>
      <c r="B8" s="2" t="n">
        <f aca="false">COUNTA(Food!A:A)-1</f>
        <v>0</v>
      </c>
      <c r="C8" s="2" t="n">
        <f aca="false">COUNTIF(Food!T:T,"to check")</f>
        <v>0</v>
      </c>
      <c r="D8" s="2" t="n">
        <f aca="false">COUNTIF(Food!T:T,"approved")</f>
        <v>0</v>
      </c>
      <c r="E8" s="2" t="n">
        <f aca="false">COUNTIF(Food!T:T,"fix needed")</f>
        <v>0</v>
      </c>
      <c r="F8" s="2" t="n">
        <f aca="false">COUNTIF(Food!T:T,"rejected")</f>
        <v>0</v>
      </c>
      <c r="G8" s="4" t="n">
        <v>600</v>
      </c>
      <c r="H8" s="5" t="n">
        <f aca="false">IF(G8=0,0,D8/G8)</f>
        <v>0</v>
      </c>
    </row>
    <row r="9" customFormat="false" ht="15" hidden="false" customHeight="false" outlineLevel="0" collapsed="false">
      <c r="A9" s="2" t="s">
        <v>14</v>
      </c>
      <c r="B9" s="2" t="n">
        <f aca="false">COUNTA(Mixed!A:A)-1</f>
        <v>0</v>
      </c>
      <c r="C9" s="2" t="n">
        <f aca="false">COUNTIF(Mixed!T:T,"to check")</f>
        <v>0</v>
      </c>
      <c r="D9" s="2" t="n">
        <f aca="false">COUNTIF(Mixed!T:T,"approved")</f>
        <v>0</v>
      </c>
      <c r="E9" s="2" t="n">
        <f aca="false">COUNTIF(Mixed!T:T,"fix needed")</f>
        <v>0</v>
      </c>
      <c r="F9" s="2" t="n">
        <f aca="false">COUNTIF(Mixed!T:T,"rejected")</f>
        <v>0</v>
      </c>
      <c r="G9" s="4" t="n">
        <v>600</v>
      </c>
      <c r="H9" s="5" t="n">
        <f aca="false">IF(G9=0,0,D9/G9)</f>
        <v>0</v>
      </c>
    </row>
    <row r="10" customFormat="false" ht="15" hidden="false" customHeight="false" outlineLevel="0" collapsed="false">
      <c r="A10" s="2" t="s">
        <v>15</v>
      </c>
      <c r="B10" s="2" t="n">
        <f aca="false">COUNTA(Sport!A:A)-1</f>
        <v>158</v>
      </c>
      <c r="C10" s="2" t="n">
        <f aca="false">COUNTIF(Sport!T:T,"to check")</f>
        <v>158</v>
      </c>
      <c r="D10" s="2" t="n">
        <f aca="false">COUNTIF(Sport!T:T,"approved")</f>
        <v>0</v>
      </c>
      <c r="E10" s="2" t="n">
        <f aca="false">COUNTIF(Sport!T:T,"fix needed")</f>
        <v>0</v>
      </c>
      <c r="F10" s="2" t="n">
        <f aca="false">COUNTIF(Sport!T:T,"rejected")</f>
        <v>0</v>
      </c>
      <c r="G10" s="4" t="n">
        <v>600</v>
      </c>
      <c r="H10" s="5" t="n">
        <f aca="false">IF(G10=0,0,D10/G10)</f>
        <v>0</v>
      </c>
    </row>
    <row r="11" customFormat="false" ht="15" hidden="false" customHeight="false" outlineLevel="0" collapsed="false">
      <c r="A11" s="6" t="s">
        <v>16</v>
      </c>
      <c r="B11" s="6" t="n">
        <f aca="false">SUM(B5:B10)</f>
        <v>158</v>
      </c>
      <c r="C11" s="6" t="n">
        <f aca="false">SUM(C5:C10)</f>
        <v>158</v>
      </c>
      <c r="D11" s="6" t="n">
        <f aca="false">SUM(D5:D10)</f>
        <v>0</v>
      </c>
      <c r="E11" s="6" t="n">
        <f aca="false">SUM(E5:E10)</f>
        <v>0</v>
      </c>
      <c r="F11" s="6" t="n">
        <f aca="false">SUM(F5:F10)</f>
        <v>0</v>
      </c>
      <c r="G11" s="6" t="n">
        <f aca="false">SUM(G5:G10)</f>
        <v>3600</v>
      </c>
      <c r="H11" s="7" t="n">
        <f aca="false">IF(G11=0,0,D11/G11)</f>
        <v>0</v>
      </c>
    </row>
    <row r="13" customFormat="false" ht="15" hidden="false" customHeight="false" outlineLevel="0" collapsed="false">
      <c r="A13" s="3" t="s">
        <v>17</v>
      </c>
      <c r="B13" s="3" t="s">
        <v>10</v>
      </c>
      <c r="C13" s="3" t="s">
        <v>11</v>
      </c>
      <c r="D13" s="3" t="s">
        <v>12</v>
      </c>
      <c r="E13" s="3" t="s">
        <v>13</v>
      </c>
      <c r="F13" s="3" t="s">
        <v>14</v>
      </c>
      <c r="G13" s="3" t="s">
        <v>15</v>
      </c>
      <c r="H13" s="3" t="s">
        <v>18</v>
      </c>
    </row>
    <row r="14" customFormat="false" ht="15" hidden="false" customHeight="false" outlineLevel="0" collapsed="false">
      <c r="A14" s="2" t="s">
        <v>19</v>
      </c>
      <c r="B14" s="2" t="n">
        <f aca="false">COUNTIF(Slang!E:E,1)</f>
        <v>0</v>
      </c>
      <c r="C14" s="2" t="n">
        <f aca="false">COUNTIF(Nollywood!E:E,1)</f>
        <v>0</v>
      </c>
      <c r="D14" s="2" t="n">
        <f aca="false">COUNTIF(Music!E:E,1)</f>
        <v>0</v>
      </c>
      <c r="E14" s="2" t="n">
        <f aca="false">COUNTIF(Food!E:E,1)</f>
        <v>0</v>
      </c>
      <c r="F14" s="2" t="n">
        <f aca="false">COUNTIF(Mixed!E:E,1)</f>
        <v>0</v>
      </c>
      <c r="G14" s="2" t="n">
        <f aca="false">COUNTIF(Sport!E:E,1)</f>
        <v>25</v>
      </c>
      <c r="H14" s="8" t="n">
        <v>0.15</v>
      </c>
    </row>
    <row r="15" customFormat="false" ht="15" hidden="false" customHeight="false" outlineLevel="0" collapsed="false">
      <c r="A15" s="2" t="s">
        <v>20</v>
      </c>
      <c r="B15" s="2" t="n">
        <f aca="false">COUNTIF(Slang!E:E,2)</f>
        <v>0</v>
      </c>
      <c r="C15" s="2" t="n">
        <f aca="false">COUNTIF(Nollywood!E:E,2)</f>
        <v>0</v>
      </c>
      <c r="D15" s="2" t="n">
        <f aca="false">COUNTIF(Music!E:E,2)</f>
        <v>0</v>
      </c>
      <c r="E15" s="2" t="n">
        <f aca="false">COUNTIF(Food!E:E,2)</f>
        <v>0</v>
      </c>
      <c r="F15" s="2" t="n">
        <f aca="false">COUNTIF(Mixed!E:E,2)</f>
        <v>0</v>
      </c>
      <c r="G15" s="2" t="n">
        <f aca="false">COUNTIF(Sport!E:E,2)</f>
        <v>30</v>
      </c>
      <c r="H15" s="8" t="n">
        <v>0.2</v>
      </c>
    </row>
    <row r="16" customFormat="false" ht="15" hidden="false" customHeight="false" outlineLevel="0" collapsed="false">
      <c r="A16" s="2" t="s">
        <v>21</v>
      </c>
      <c r="B16" s="2" t="n">
        <f aca="false">COUNTIF(Slang!E:E,3)</f>
        <v>0</v>
      </c>
      <c r="C16" s="2" t="n">
        <f aca="false">COUNTIF(Nollywood!E:E,3)</f>
        <v>0</v>
      </c>
      <c r="D16" s="2" t="n">
        <f aca="false">COUNTIF(Music!E:E,3)</f>
        <v>0</v>
      </c>
      <c r="E16" s="2" t="n">
        <f aca="false">COUNTIF(Food!E:E,3)</f>
        <v>0</v>
      </c>
      <c r="F16" s="2" t="n">
        <f aca="false">COUNTIF(Mixed!E:E,3)</f>
        <v>0</v>
      </c>
      <c r="G16" s="2" t="n">
        <f aca="false">COUNTIF(Sport!E:E,3)</f>
        <v>49</v>
      </c>
      <c r="H16" s="8" t="n">
        <v>0.3</v>
      </c>
    </row>
    <row r="17" customFormat="false" ht="15" hidden="false" customHeight="false" outlineLevel="0" collapsed="false">
      <c r="A17" s="2" t="s">
        <v>22</v>
      </c>
      <c r="B17" s="2" t="n">
        <f aca="false">COUNTIF(Slang!E:E,4)</f>
        <v>0</v>
      </c>
      <c r="C17" s="2" t="n">
        <f aca="false">COUNTIF(Nollywood!E:E,4)</f>
        <v>0</v>
      </c>
      <c r="D17" s="2" t="n">
        <f aca="false">COUNTIF(Music!E:E,4)</f>
        <v>0</v>
      </c>
      <c r="E17" s="2" t="n">
        <f aca="false">COUNTIF(Food!E:E,4)</f>
        <v>0</v>
      </c>
      <c r="F17" s="2" t="n">
        <f aca="false">COUNTIF(Mixed!E:E,4)</f>
        <v>0</v>
      </c>
      <c r="G17" s="2" t="n">
        <f aca="false">COUNTIF(Sport!E:E,4)</f>
        <v>30</v>
      </c>
      <c r="H17" s="8" t="n">
        <v>0.2</v>
      </c>
    </row>
    <row r="18" customFormat="false" ht="15" hidden="false" customHeight="false" outlineLevel="0" collapsed="false">
      <c r="A18" s="2" t="s">
        <v>23</v>
      </c>
      <c r="B18" s="2" t="n">
        <f aca="false">COUNTIF(Slang!E:E,5)</f>
        <v>0</v>
      </c>
      <c r="C18" s="2" t="n">
        <f aca="false">COUNTIF(Nollywood!E:E,5)</f>
        <v>0</v>
      </c>
      <c r="D18" s="2" t="n">
        <f aca="false">COUNTIF(Music!E:E,5)</f>
        <v>0</v>
      </c>
      <c r="E18" s="2" t="n">
        <f aca="false">COUNTIF(Food!E:E,5)</f>
        <v>0</v>
      </c>
      <c r="F18" s="2" t="n">
        <f aca="false">COUNTIF(Mixed!E:E,5)</f>
        <v>0</v>
      </c>
      <c r="G18" s="2" t="n">
        <f aca="false">COUNTIF(Sport!E:E,5)</f>
        <v>24</v>
      </c>
      <c r="H18" s="8" t="n">
        <v>0.15</v>
      </c>
    </row>
    <row r="20" customFormat="false" ht="15" hidden="false" customHeight="false" outlineLevel="0" collapsed="false">
      <c r="A20" s="6" t="s">
        <v>24</v>
      </c>
    </row>
    <row r="21" customFormat="false" ht="15" hidden="false" customHeight="false" outlineLevel="0" collapsed="false">
      <c r="A21" s="2" t="s">
        <v>25</v>
      </c>
    </row>
    <row r="22" customFormat="false" ht="15" hidden="false" customHeight="false" outlineLevel="0" collapsed="false">
      <c r="A22" s="2" t="s">
        <v>26</v>
      </c>
    </row>
    <row r="23" customFormat="false" ht="15" hidden="false" customHeight="false" outlineLevel="0" collapsed="false">
      <c r="A23" s="2" t="s">
        <v>27</v>
      </c>
    </row>
    <row r="24" customFormat="false" ht="15" hidden="false" customHeight="false" outlineLevel="0" collapsed="false">
      <c r="A24" s="2" t="s">
        <v>28</v>
      </c>
    </row>
    <row r="25" customFormat="false" ht="15" hidden="false" customHeight="false" outlineLevel="0" collapsed="false">
      <c r="A25" s="2" t="s">
        <v>29</v>
      </c>
    </row>
    <row r="26" customFormat="false" ht="15" hidden="false" customHeight="false" outlineLevel="0" collapsed="false">
      <c r="A26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  <row r="2" customFormat="false" ht="35.05" hidden="false" customHeight="false" outlineLevel="0" collapsed="false">
      <c r="A2" s="10" t="s">
        <v>53</v>
      </c>
      <c r="B2" s="10" t="s">
        <v>54</v>
      </c>
      <c r="C2" s="10" t="s">
        <v>55</v>
      </c>
      <c r="D2" s="10" t="s">
        <v>56</v>
      </c>
      <c r="E2" s="10" t="n">
        <v>1</v>
      </c>
      <c r="F2" s="11" t="s">
        <v>57</v>
      </c>
      <c r="G2" s="10" t="s">
        <v>58</v>
      </c>
      <c r="H2" s="10" t="s">
        <v>59</v>
      </c>
      <c r="I2" s="10" t="s">
        <v>60</v>
      </c>
      <c r="J2" s="10" t="s">
        <v>61</v>
      </c>
      <c r="K2" s="10" t="s">
        <v>62</v>
      </c>
      <c r="L2" s="11" t="s">
        <v>63</v>
      </c>
      <c r="M2" s="10" t="s">
        <v>64</v>
      </c>
      <c r="N2" s="10"/>
      <c r="O2" s="10" t="s">
        <v>65</v>
      </c>
      <c r="P2" s="10" t="s">
        <v>66</v>
      </c>
      <c r="Q2" s="12" t="s">
        <v>67</v>
      </c>
      <c r="R2" s="10" t="s">
        <v>68</v>
      </c>
      <c r="S2" s="10" t="s">
        <v>69</v>
      </c>
      <c r="T2" s="13" t="s">
        <v>70</v>
      </c>
      <c r="U2" s="13"/>
      <c r="V2" s="14" t="s">
        <v>71</v>
      </c>
    </row>
    <row r="3" customFormat="false" ht="23.85" hidden="false" customHeight="false" outlineLevel="0" collapsed="false">
      <c r="A3" s="10" t="s">
        <v>72</v>
      </c>
      <c r="B3" s="10" t="s">
        <v>54</v>
      </c>
      <c r="C3" s="10" t="s">
        <v>55</v>
      </c>
      <c r="D3" s="10" t="s">
        <v>56</v>
      </c>
      <c r="E3" s="10" t="n">
        <v>1</v>
      </c>
      <c r="F3" s="11" t="s">
        <v>73</v>
      </c>
      <c r="G3" s="10" t="s">
        <v>74</v>
      </c>
      <c r="H3" s="10" t="s">
        <v>75</v>
      </c>
      <c r="I3" s="10" t="s">
        <v>76</v>
      </c>
      <c r="J3" s="10" t="s">
        <v>77</v>
      </c>
      <c r="K3" s="10" t="s">
        <v>62</v>
      </c>
      <c r="L3" s="11" t="s">
        <v>78</v>
      </c>
      <c r="M3" s="10" t="s">
        <v>64</v>
      </c>
      <c r="N3" s="10"/>
      <c r="O3" s="10" t="s">
        <v>65</v>
      </c>
      <c r="P3" s="10" t="s">
        <v>66</v>
      </c>
      <c r="Q3" s="12" t="s">
        <v>79</v>
      </c>
      <c r="R3" s="10" t="s">
        <v>80</v>
      </c>
      <c r="S3" s="10" t="s">
        <v>69</v>
      </c>
      <c r="T3" s="13" t="s">
        <v>70</v>
      </c>
      <c r="U3" s="13"/>
      <c r="V3" s="14"/>
    </row>
    <row r="4" customFormat="false" ht="35.05" hidden="false" customHeight="false" outlineLevel="0" collapsed="false">
      <c r="A4" s="10" t="s">
        <v>81</v>
      </c>
      <c r="B4" s="10" t="s">
        <v>54</v>
      </c>
      <c r="C4" s="10" t="s">
        <v>55</v>
      </c>
      <c r="D4" s="10" t="s">
        <v>56</v>
      </c>
      <c r="E4" s="10" t="n">
        <v>1</v>
      </c>
      <c r="F4" s="11" t="s">
        <v>82</v>
      </c>
      <c r="G4" s="10" t="s">
        <v>83</v>
      </c>
      <c r="H4" s="10" t="s">
        <v>84</v>
      </c>
      <c r="I4" s="10" t="s">
        <v>85</v>
      </c>
      <c r="J4" s="10" t="s">
        <v>86</v>
      </c>
      <c r="K4" s="10" t="s">
        <v>62</v>
      </c>
      <c r="L4" s="11" t="s">
        <v>87</v>
      </c>
      <c r="M4" s="10" t="s">
        <v>64</v>
      </c>
      <c r="N4" s="10"/>
      <c r="O4" s="10" t="s">
        <v>65</v>
      </c>
      <c r="P4" s="10" t="s">
        <v>66</v>
      </c>
      <c r="Q4" s="12" t="s">
        <v>88</v>
      </c>
      <c r="R4" s="10" t="s">
        <v>89</v>
      </c>
      <c r="S4" s="10" t="s">
        <v>69</v>
      </c>
      <c r="T4" s="13" t="s">
        <v>70</v>
      </c>
      <c r="U4" s="13"/>
      <c r="V4" s="14"/>
    </row>
    <row r="5" customFormat="false" ht="23.85" hidden="false" customHeight="false" outlineLevel="0" collapsed="false">
      <c r="A5" s="10" t="s">
        <v>90</v>
      </c>
      <c r="B5" s="10" t="s">
        <v>54</v>
      </c>
      <c r="C5" s="10" t="s">
        <v>55</v>
      </c>
      <c r="D5" s="10" t="s">
        <v>56</v>
      </c>
      <c r="E5" s="10" t="n">
        <v>1</v>
      </c>
      <c r="F5" s="11" t="s">
        <v>91</v>
      </c>
      <c r="G5" s="10" t="s">
        <v>92</v>
      </c>
      <c r="H5" s="10" t="s">
        <v>93</v>
      </c>
      <c r="I5" s="10" t="s">
        <v>94</v>
      </c>
      <c r="J5" s="10" t="s">
        <v>95</v>
      </c>
      <c r="K5" s="10" t="s">
        <v>62</v>
      </c>
      <c r="L5" s="11" t="s">
        <v>96</v>
      </c>
      <c r="M5" s="10" t="s">
        <v>64</v>
      </c>
      <c r="N5" s="10"/>
      <c r="O5" s="10" t="s">
        <v>65</v>
      </c>
      <c r="P5" s="10" t="s">
        <v>66</v>
      </c>
      <c r="Q5" s="12" t="s">
        <v>97</v>
      </c>
      <c r="R5" s="10" t="s">
        <v>98</v>
      </c>
      <c r="S5" s="10" t="s">
        <v>69</v>
      </c>
      <c r="T5" s="13" t="s">
        <v>70</v>
      </c>
      <c r="U5" s="13"/>
      <c r="V5" s="14"/>
    </row>
    <row r="6" customFormat="false" ht="35.05" hidden="false" customHeight="false" outlineLevel="0" collapsed="false">
      <c r="A6" s="10" t="s">
        <v>99</v>
      </c>
      <c r="B6" s="10" t="s">
        <v>54</v>
      </c>
      <c r="C6" s="10" t="s">
        <v>55</v>
      </c>
      <c r="D6" s="10" t="s">
        <v>56</v>
      </c>
      <c r="E6" s="10" t="n">
        <v>1</v>
      </c>
      <c r="F6" s="11" t="s">
        <v>100</v>
      </c>
      <c r="G6" s="10" t="s">
        <v>101</v>
      </c>
      <c r="H6" s="10" t="s">
        <v>102</v>
      </c>
      <c r="I6" s="10" t="s">
        <v>103</v>
      </c>
      <c r="J6" s="10" t="s">
        <v>104</v>
      </c>
      <c r="K6" s="10" t="s">
        <v>62</v>
      </c>
      <c r="L6" s="11" t="s">
        <v>105</v>
      </c>
      <c r="M6" s="10" t="s">
        <v>64</v>
      </c>
      <c r="N6" s="10"/>
      <c r="O6" s="10" t="s">
        <v>65</v>
      </c>
      <c r="P6" s="10" t="s">
        <v>66</v>
      </c>
      <c r="Q6" s="12" t="s">
        <v>106</v>
      </c>
      <c r="R6" s="10" t="s">
        <v>107</v>
      </c>
      <c r="S6" s="10" t="s">
        <v>69</v>
      </c>
      <c r="T6" s="13" t="s">
        <v>70</v>
      </c>
      <c r="U6" s="13"/>
      <c r="V6" s="14"/>
    </row>
    <row r="7" customFormat="false" ht="35.05" hidden="false" customHeight="false" outlineLevel="0" collapsed="false">
      <c r="A7" s="10" t="s">
        <v>108</v>
      </c>
      <c r="B7" s="10" t="s">
        <v>54</v>
      </c>
      <c r="C7" s="10" t="s">
        <v>55</v>
      </c>
      <c r="D7" s="10" t="s">
        <v>56</v>
      </c>
      <c r="E7" s="10" t="n">
        <v>2</v>
      </c>
      <c r="F7" s="11" t="s">
        <v>109</v>
      </c>
      <c r="G7" s="10" t="s">
        <v>110</v>
      </c>
      <c r="H7" s="10" t="s">
        <v>111</v>
      </c>
      <c r="I7" s="10" t="s">
        <v>112</v>
      </c>
      <c r="J7" s="10" t="s">
        <v>113</v>
      </c>
      <c r="K7" s="10" t="s">
        <v>62</v>
      </c>
      <c r="L7" s="11" t="s">
        <v>114</v>
      </c>
      <c r="M7" s="10" t="s">
        <v>64</v>
      </c>
      <c r="N7" s="10"/>
      <c r="O7" s="10" t="s">
        <v>65</v>
      </c>
      <c r="P7" s="10" t="s">
        <v>66</v>
      </c>
      <c r="Q7" s="12" t="s">
        <v>115</v>
      </c>
      <c r="R7" s="10" t="s">
        <v>116</v>
      </c>
      <c r="S7" s="10" t="s">
        <v>69</v>
      </c>
      <c r="T7" s="13" t="s">
        <v>70</v>
      </c>
      <c r="U7" s="13"/>
      <c r="V7" s="14"/>
    </row>
    <row r="8" customFormat="false" ht="46.25" hidden="false" customHeight="false" outlineLevel="0" collapsed="false">
      <c r="A8" s="10" t="s">
        <v>117</v>
      </c>
      <c r="B8" s="10" t="s">
        <v>54</v>
      </c>
      <c r="C8" s="10" t="s">
        <v>55</v>
      </c>
      <c r="D8" s="10" t="s">
        <v>56</v>
      </c>
      <c r="E8" s="10" t="n">
        <v>2</v>
      </c>
      <c r="F8" s="11" t="s">
        <v>118</v>
      </c>
      <c r="G8" s="10" t="s">
        <v>119</v>
      </c>
      <c r="H8" s="10" t="s">
        <v>120</v>
      </c>
      <c r="I8" s="10" t="s">
        <v>121</v>
      </c>
      <c r="J8" s="10" t="s">
        <v>122</v>
      </c>
      <c r="K8" s="10" t="s">
        <v>62</v>
      </c>
      <c r="L8" s="11" t="s">
        <v>123</v>
      </c>
      <c r="M8" s="10" t="s">
        <v>64</v>
      </c>
      <c r="N8" s="10"/>
      <c r="O8" s="10" t="s">
        <v>65</v>
      </c>
      <c r="P8" s="10" t="s">
        <v>66</v>
      </c>
      <c r="Q8" s="12" t="s">
        <v>124</v>
      </c>
      <c r="R8" s="10" t="s">
        <v>125</v>
      </c>
      <c r="S8" s="10" t="s">
        <v>69</v>
      </c>
      <c r="T8" s="13" t="s">
        <v>70</v>
      </c>
      <c r="U8" s="13"/>
      <c r="V8" s="14" t="s">
        <v>126</v>
      </c>
    </row>
    <row r="9" customFormat="false" ht="23.85" hidden="false" customHeight="false" outlineLevel="0" collapsed="false">
      <c r="A9" s="10" t="s">
        <v>127</v>
      </c>
      <c r="B9" s="10" t="s">
        <v>54</v>
      </c>
      <c r="C9" s="10" t="s">
        <v>55</v>
      </c>
      <c r="D9" s="10" t="s">
        <v>56</v>
      </c>
      <c r="E9" s="10" t="n">
        <v>2</v>
      </c>
      <c r="F9" s="11" t="s">
        <v>128</v>
      </c>
      <c r="G9" s="10" t="s">
        <v>129</v>
      </c>
      <c r="H9" s="10" t="s">
        <v>130</v>
      </c>
      <c r="I9" s="10" t="s">
        <v>131</v>
      </c>
      <c r="J9" s="10" t="s">
        <v>132</v>
      </c>
      <c r="K9" s="10" t="s">
        <v>62</v>
      </c>
      <c r="L9" s="11" t="s">
        <v>133</v>
      </c>
      <c r="M9" s="10" t="s">
        <v>64</v>
      </c>
      <c r="N9" s="10"/>
      <c r="O9" s="10" t="s">
        <v>65</v>
      </c>
      <c r="P9" s="10" t="s">
        <v>66</v>
      </c>
      <c r="Q9" s="12" t="s">
        <v>88</v>
      </c>
      <c r="R9" s="10" t="s">
        <v>89</v>
      </c>
      <c r="S9" s="10" t="s">
        <v>69</v>
      </c>
      <c r="T9" s="13" t="s">
        <v>70</v>
      </c>
      <c r="U9" s="13"/>
      <c r="V9" s="14"/>
    </row>
    <row r="10" customFormat="false" ht="23.85" hidden="false" customHeight="false" outlineLevel="0" collapsed="false">
      <c r="A10" s="10" t="s">
        <v>134</v>
      </c>
      <c r="B10" s="10" t="s">
        <v>54</v>
      </c>
      <c r="C10" s="10" t="s">
        <v>55</v>
      </c>
      <c r="D10" s="10" t="s">
        <v>56</v>
      </c>
      <c r="E10" s="10" t="n">
        <v>2</v>
      </c>
      <c r="F10" s="11" t="s">
        <v>135</v>
      </c>
      <c r="G10" s="10" t="s">
        <v>136</v>
      </c>
      <c r="H10" s="10" t="s">
        <v>137</v>
      </c>
      <c r="I10" s="10" t="s">
        <v>138</v>
      </c>
      <c r="J10" s="10" t="s">
        <v>139</v>
      </c>
      <c r="K10" s="10" t="s">
        <v>62</v>
      </c>
      <c r="L10" s="11" t="s">
        <v>140</v>
      </c>
      <c r="M10" s="10" t="s">
        <v>64</v>
      </c>
      <c r="N10" s="10"/>
      <c r="O10" s="10" t="s">
        <v>65</v>
      </c>
      <c r="P10" s="10" t="s">
        <v>66</v>
      </c>
      <c r="Q10" s="12" t="s">
        <v>141</v>
      </c>
      <c r="R10" s="10" t="s">
        <v>142</v>
      </c>
      <c r="S10" s="10" t="s">
        <v>69</v>
      </c>
      <c r="T10" s="13" t="s">
        <v>70</v>
      </c>
      <c r="U10" s="13"/>
      <c r="V10" s="14"/>
    </row>
    <row r="11" customFormat="false" ht="23.85" hidden="false" customHeight="false" outlineLevel="0" collapsed="false">
      <c r="A11" s="10" t="s">
        <v>143</v>
      </c>
      <c r="B11" s="10" t="s">
        <v>54</v>
      </c>
      <c r="C11" s="10" t="s">
        <v>55</v>
      </c>
      <c r="D11" s="10" t="s">
        <v>56</v>
      </c>
      <c r="E11" s="10" t="n">
        <v>2</v>
      </c>
      <c r="F11" s="11" t="s">
        <v>144</v>
      </c>
      <c r="G11" s="10" t="s">
        <v>145</v>
      </c>
      <c r="H11" s="10" t="s">
        <v>146</v>
      </c>
      <c r="I11" s="10" t="s">
        <v>147</v>
      </c>
      <c r="J11" s="10" t="s">
        <v>148</v>
      </c>
      <c r="K11" s="10" t="s">
        <v>62</v>
      </c>
      <c r="L11" s="11" t="s">
        <v>149</v>
      </c>
      <c r="M11" s="10" t="s">
        <v>64</v>
      </c>
      <c r="N11" s="10"/>
      <c r="O11" s="10" t="s">
        <v>65</v>
      </c>
      <c r="P11" s="10" t="s">
        <v>66</v>
      </c>
      <c r="Q11" s="12" t="s">
        <v>150</v>
      </c>
      <c r="R11" s="10" t="s">
        <v>151</v>
      </c>
      <c r="S11" s="10" t="s">
        <v>69</v>
      </c>
      <c r="T11" s="13" t="s">
        <v>70</v>
      </c>
      <c r="U11" s="13"/>
      <c r="V11" s="14"/>
    </row>
    <row r="12" customFormat="false" ht="23.85" hidden="false" customHeight="false" outlineLevel="0" collapsed="false">
      <c r="A12" s="10" t="s">
        <v>152</v>
      </c>
      <c r="B12" s="10" t="s">
        <v>54</v>
      </c>
      <c r="C12" s="10" t="s">
        <v>55</v>
      </c>
      <c r="D12" s="10" t="s">
        <v>56</v>
      </c>
      <c r="E12" s="10" t="n">
        <v>2</v>
      </c>
      <c r="F12" s="11" t="s">
        <v>153</v>
      </c>
      <c r="G12" s="10" t="s">
        <v>121</v>
      </c>
      <c r="H12" s="10" t="s">
        <v>122</v>
      </c>
      <c r="I12" s="10" t="s">
        <v>154</v>
      </c>
      <c r="J12" s="10" t="s">
        <v>120</v>
      </c>
      <c r="K12" s="10" t="s">
        <v>62</v>
      </c>
      <c r="L12" s="11" t="s">
        <v>155</v>
      </c>
      <c r="M12" s="10" t="s">
        <v>64</v>
      </c>
      <c r="N12" s="10"/>
      <c r="O12" s="10" t="s">
        <v>65</v>
      </c>
      <c r="P12" s="10" t="s">
        <v>66</v>
      </c>
      <c r="Q12" s="12" t="s">
        <v>156</v>
      </c>
      <c r="R12" s="10" t="s">
        <v>157</v>
      </c>
      <c r="S12" s="10" t="s">
        <v>69</v>
      </c>
      <c r="T12" s="13" t="s">
        <v>70</v>
      </c>
      <c r="U12" s="13"/>
      <c r="V12" s="14"/>
    </row>
    <row r="13" customFormat="false" ht="23.85" hidden="false" customHeight="false" outlineLevel="0" collapsed="false">
      <c r="A13" s="10" t="s">
        <v>158</v>
      </c>
      <c r="B13" s="10" t="s">
        <v>54</v>
      </c>
      <c r="C13" s="10" t="s">
        <v>55</v>
      </c>
      <c r="D13" s="10" t="s">
        <v>56</v>
      </c>
      <c r="E13" s="10" t="n">
        <v>3</v>
      </c>
      <c r="F13" s="11" t="s">
        <v>159</v>
      </c>
      <c r="G13" s="10" t="s">
        <v>160</v>
      </c>
      <c r="H13" s="10" t="s">
        <v>161</v>
      </c>
      <c r="I13" s="10" t="s">
        <v>162</v>
      </c>
      <c r="J13" s="10" t="s">
        <v>163</v>
      </c>
      <c r="K13" s="10" t="s">
        <v>62</v>
      </c>
      <c r="L13" s="11" t="s">
        <v>164</v>
      </c>
      <c r="M13" s="10" t="s">
        <v>64</v>
      </c>
      <c r="N13" s="10"/>
      <c r="O13" s="10" t="s">
        <v>65</v>
      </c>
      <c r="P13" s="10" t="s">
        <v>66</v>
      </c>
      <c r="Q13" s="12" t="s">
        <v>88</v>
      </c>
      <c r="R13" s="10" t="s">
        <v>89</v>
      </c>
      <c r="S13" s="10" t="s">
        <v>69</v>
      </c>
      <c r="T13" s="13" t="s">
        <v>70</v>
      </c>
      <c r="U13" s="13"/>
      <c r="V13" s="14"/>
    </row>
    <row r="14" customFormat="false" ht="23.85" hidden="false" customHeight="false" outlineLevel="0" collapsed="false">
      <c r="A14" s="10" t="s">
        <v>165</v>
      </c>
      <c r="B14" s="10" t="s">
        <v>54</v>
      </c>
      <c r="C14" s="10" t="s">
        <v>55</v>
      </c>
      <c r="D14" s="10" t="s">
        <v>56</v>
      </c>
      <c r="E14" s="10" t="n">
        <v>3</v>
      </c>
      <c r="F14" s="11" t="s">
        <v>166</v>
      </c>
      <c r="G14" s="10" t="s">
        <v>167</v>
      </c>
      <c r="H14" s="10" t="s">
        <v>168</v>
      </c>
      <c r="I14" s="10" t="s">
        <v>169</v>
      </c>
      <c r="J14" s="10" t="s">
        <v>170</v>
      </c>
      <c r="K14" s="10" t="s">
        <v>62</v>
      </c>
      <c r="L14" s="11" t="s">
        <v>171</v>
      </c>
      <c r="M14" s="10" t="s">
        <v>64</v>
      </c>
      <c r="N14" s="10"/>
      <c r="O14" s="10" t="s">
        <v>65</v>
      </c>
      <c r="P14" s="10" t="s">
        <v>66</v>
      </c>
      <c r="Q14" s="12" t="s">
        <v>172</v>
      </c>
      <c r="R14" s="10" t="s">
        <v>173</v>
      </c>
      <c r="S14" s="10" t="s">
        <v>69</v>
      </c>
      <c r="T14" s="13" t="s">
        <v>70</v>
      </c>
      <c r="U14" s="13"/>
      <c r="V14" s="14"/>
    </row>
    <row r="15" customFormat="false" ht="23.85" hidden="false" customHeight="false" outlineLevel="0" collapsed="false">
      <c r="A15" s="10" t="s">
        <v>174</v>
      </c>
      <c r="B15" s="10" t="s">
        <v>54</v>
      </c>
      <c r="C15" s="10" t="s">
        <v>55</v>
      </c>
      <c r="D15" s="10" t="s">
        <v>56</v>
      </c>
      <c r="E15" s="10" t="n">
        <v>3</v>
      </c>
      <c r="F15" s="11" t="s">
        <v>175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10" t="s">
        <v>62</v>
      </c>
      <c r="L15" s="11" t="s">
        <v>180</v>
      </c>
      <c r="M15" s="10" t="s">
        <v>64</v>
      </c>
      <c r="N15" s="10"/>
      <c r="O15" s="10" t="s">
        <v>65</v>
      </c>
      <c r="P15" s="10" t="s">
        <v>66</v>
      </c>
      <c r="Q15" s="12" t="s">
        <v>181</v>
      </c>
      <c r="R15" s="10" t="s">
        <v>182</v>
      </c>
      <c r="S15" s="10" t="s">
        <v>69</v>
      </c>
      <c r="T15" s="13" t="s">
        <v>70</v>
      </c>
      <c r="U15" s="13"/>
      <c r="V15" s="14"/>
    </row>
    <row r="16" customFormat="false" ht="23.85" hidden="false" customHeight="false" outlineLevel="0" collapsed="false">
      <c r="A16" s="10" t="s">
        <v>183</v>
      </c>
      <c r="B16" s="10" t="s">
        <v>54</v>
      </c>
      <c r="C16" s="10" t="s">
        <v>55</v>
      </c>
      <c r="D16" s="10" t="s">
        <v>56</v>
      </c>
      <c r="E16" s="10" t="n">
        <v>3</v>
      </c>
      <c r="F16" s="11" t="s">
        <v>184</v>
      </c>
      <c r="G16" s="10" t="s">
        <v>185</v>
      </c>
      <c r="H16" s="10" t="s">
        <v>186</v>
      </c>
      <c r="I16" s="10" t="s">
        <v>187</v>
      </c>
      <c r="J16" s="10" t="s">
        <v>188</v>
      </c>
      <c r="K16" s="10" t="s">
        <v>62</v>
      </c>
      <c r="L16" s="11" t="s">
        <v>189</v>
      </c>
      <c r="M16" s="10" t="s">
        <v>64</v>
      </c>
      <c r="N16" s="10"/>
      <c r="O16" s="10" t="s">
        <v>65</v>
      </c>
      <c r="P16" s="10" t="s">
        <v>66</v>
      </c>
      <c r="Q16" s="12" t="s">
        <v>97</v>
      </c>
      <c r="R16" s="10" t="s">
        <v>98</v>
      </c>
      <c r="S16" s="10" t="s">
        <v>69</v>
      </c>
      <c r="T16" s="13" t="s">
        <v>70</v>
      </c>
      <c r="U16" s="13"/>
      <c r="V16" s="14"/>
    </row>
    <row r="17" customFormat="false" ht="35.05" hidden="false" customHeight="false" outlineLevel="0" collapsed="false">
      <c r="A17" s="10" t="s">
        <v>190</v>
      </c>
      <c r="B17" s="10" t="s">
        <v>54</v>
      </c>
      <c r="C17" s="10" t="s">
        <v>55</v>
      </c>
      <c r="D17" s="10" t="s">
        <v>56</v>
      </c>
      <c r="E17" s="10" t="n">
        <v>3</v>
      </c>
      <c r="F17" s="11" t="s">
        <v>191</v>
      </c>
      <c r="G17" s="10" t="s">
        <v>192</v>
      </c>
      <c r="H17" s="10" t="s">
        <v>137</v>
      </c>
      <c r="I17" s="10" t="s">
        <v>187</v>
      </c>
      <c r="J17" s="10" t="s">
        <v>136</v>
      </c>
      <c r="K17" s="10" t="s">
        <v>62</v>
      </c>
      <c r="L17" s="11" t="s">
        <v>193</v>
      </c>
      <c r="M17" s="10" t="s">
        <v>64</v>
      </c>
      <c r="N17" s="10"/>
      <c r="O17" s="10" t="s">
        <v>65</v>
      </c>
      <c r="P17" s="10" t="s">
        <v>66</v>
      </c>
      <c r="Q17" s="12" t="s">
        <v>194</v>
      </c>
      <c r="R17" s="10" t="s">
        <v>195</v>
      </c>
      <c r="S17" s="10" t="s">
        <v>69</v>
      </c>
      <c r="T17" s="13" t="s">
        <v>70</v>
      </c>
      <c r="U17" s="13"/>
      <c r="V17" s="14"/>
    </row>
    <row r="18" customFormat="false" ht="23.85" hidden="false" customHeight="false" outlineLevel="0" collapsed="false">
      <c r="A18" s="10" t="s">
        <v>196</v>
      </c>
      <c r="B18" s="10" t="s">
        <v>54</v>
      </c>
      <c r="C18" s="10" t="s">
        <v>55</v>
      </c>
      <c r="D18" s="10" t="s">
        <v>56</v>
      </c>
      <c r="E18" s="10" t="n">
        <v>3</v>
      </c>
      <c r="F18" s="11" t="s">
        <v>197</v>
      </c>
      <c r="G18" s="10" t="s">
        <v>198</v>
      </c>
      <c r="H18" s="10" t="s">
        <v>199</v>
      </c>
      <c r="I18" s="10" t="s">
        <v>200</v>
      </c>
      <c r="J18" s="10" t="s">
        <v>201</v>
      </c>
      <c r="K18" s="10" t="s">
        <v>62</v>
      </c>
      <c r="L18" s="11" t="s">
        <v>202</v>
      </c>
      <c r="M18" s="10" t="s">
        <v>64</v>
      </c>
      <c r="N18" s="10"/>
      <c r="O18" s="10" t="s">
        <v>65</v>
      </c>
      <c r="P18" s="10" t="s">
        <v>66</v>
      </c>
      <c r="Q18" s="12" t="s">
        <v>106</v>
      </c>
      <c r="R18" s="10" t="s">
        <v>107</v>
      </c>
      <c r="S18" s="10" t="s">
        <v>69</v>
      </c>
      <c r="T18" s="13" t="s">
        <v>70</v>
      </c>
      <c r="U18" s="13"/>
      <c r="V18" s="14"/>
    </row>
    <row r="19" customFormat="false" ht="23.85" hidden="false" customHeight="false" outlineLevel="0" collapsed="false">
      <c r="A19" s="10" t="s">
        <v>203</v>
      </c>
      <c r="B19" s="10" t="s">
        <v>54</v>
      </c>
      <c r="C19" s="10" t="s">
        <v>55</v>
      </c>
      <c r="D19" s="10" t="s">
        <v>56</v>
      </c>
      <c r="E19" s="10" t="n">
        <v>3</v>
      </c>
      <c r="F19" s="11" t="s">
        <v>204</v>
      </c>
      <c r="G19" s="10" t="s">
        <v>205</v>
      </c>
      <c r="H19" s="10" t="s">
        <v>206</v>
      </c>
      <c r="I19" s="10" t="s">
        <v>207</v>
      </c>
      <c r="J19" s="10" t="s">
        <v>208</v>
      </c>
      <c r="K19" s="10" t="s">
        <v>62</v>
      </c>
      <c r="L19" s="11" t="s">
        <v>209</v>
      </c>
      <c r="M19" s="10" t="s">
        <v>64</v>
      </c>
      <c r="N19" s="10"/>
      <c r="O19" s="10" t="s">
        <v>65</v>
      </c>
      <c r="P19" s="10" t="s">
        <v>66</v>
      </c>
      <c r="Q19" s="12" t="s">
        <v>210</v>
      </c>
      <c r="R19" s="10" t="s">
        <v>211</v>
      </c>
      <c r="S19" s="10" t="s">
        <v>69</v>
      </c>
      <c r="T19" s="13" t="s">
        <v>70</v>
      </c>
      <c r="U19" s="13"/>
      <c r="V19" s="14"/>
    </row>
    <row r="20" customFormat="false" ht="23.85" hidden="false" customHeight="false" outlineLevel="0" collapsed="false">
      <c r="A20" s="10" t="s">
        <v>212</v>
      </c>
      <c r="B20" s="10" t="s">
        <v>54</v>
      </c>
      <c r="C20" s="10" t="s">
        <v>55</v>
      </c>
      <c r="D20" s="10" t="s">
        <v>213</v>
      </c>
      <c r="E20" s="10" t="n">
        <v>3</v>
      </c>
      <c r="F20" s="11" t="s">
        <v>214</v>
      </c>
      <c r="G20" s="10"/>
      <c r="H20" s="10"/>
      <c r="I20" s="10"/>
      <c r="J20" s="10"/>
      <c r="K20" s="10" t="s">
        <v>215</v>
      </c>
      <c r="L20" s="11" t="s">
        <v>216</v>
      </c>
      <c r="M20" s="10" t="s">
        <v>64</v>
      </c>
      <c r="N20" s="10" t="s">
        <v>217</v>
      </c>
      <c r="O20" s="10" t="s">
        <v>65</v>
      </c>
      <c r="P20" s="10" t="s">
        <v>66</v>
      </c>
      <c r="Q20" s="12" t="s">
        <v>218</v>
      </c>
      <c r="R20" s="10" t="s">
        <v>219</v>
      </c>
      <c r="S20" s="10" t="s">
        <v>69</v>
      </c>
      <c r="T20" s="13" t="s">
        <v>70</v>
      </c>
      <c r="U20" s="13"/>
      <c r="V20" s="14"/>
    </row>
    <row r="21" customFormat="false" ht="57.45" hidden="false" customHeight="false" outlineLevel="0" collapsed="false">
      <c r="A21" s="10" t="s">
        <v>220</v>
      </c>
      <c r="B21" s="10" t="s">
        <v>54</v>
      </c>
      <c r="C21" s="10" t="s">
        <v>55</v>
      </c>
      <c r="D21" s="10" t="s">
        <v>56</v>
      </c>
      <c r="E21" s="10" t="n">
        <v>3</v>
      </c>
      <c r="F21" s="11" t="s">
        <v>221</v>
      </c>
      <c r="G21" s="10" t="s">
        <v>222</v>
      </c>
      <c r="H21" s="10" t="s">
        <v>223</v>
      </c>
      <c r="I21" s="10" t="s">
        <v>224</v>
      </c>
      <c r="J21" s="10" t="s">
        <v>225</v>
      </c>
      <c r="K21" s="10" t="s">
        <v>62</v>
      </c>
      <c r="L21" s="11" t="s">
        <v>226</v>
      </c>
      <c r="M21" s="10" t="s">
        <v>64</v>
      </c>
      <c r="N21" s="10" t="s">
        <v>217</v>
      </c>
      <c r="O21" s="10" t="s">
        <v>65</v>
      </c>
      <c r="P21" s="10" t="s">
        <v>66</v>
      </c>
      <c r="Q21" s="12" t="s">
        <v>227</v>
      </c>
      <c r="R21" s="10" t="s">
        <v>228</v>
      </c>
      <c r="S21" s="10" t="s">
        <v>69</v>
      </c>
      <c r="T21" s="13" t="s">
        <v>70</v>
      </c>
      <c r="U21" s="13"/>
      <c r="V21" s="14" t="s">
        <v>229</v>
      </c>
    </row>
    <row r="22" customFormat="false" ht="23.85" hidden="false" customHeight="false" outlineLevel="0" collapsed="false">
      <c r="A22" s="10" t="s">
        <v>230</v>
      </c>
      <c r="B22" s="10" t="s">
        <v>54</v>
      </c>
      <c r="C22" s="10" t="s">
        <v>55</v>
      </c>
      <c r="D22" s="10" t="s">
        <v>56</v>
      </c>
      <c r="E22" s="10" t="n">
        <v>3</v>
      </c>
      <c r="F22" s="11" t="s">
        <v>231</v>
      </c>
      <c r="G22" s="10" t="s">
        <v>154</v>
      </c>
      <c r="H22" s="10" t="s">
        <v>122</v>
      </c>
      <c r="I22" s="10" t="s">
        <v>119</v>
      </c>
      <c r="J22" s="10" t="s">
        <v>121</v>
      </c>
      <c r="K22" s="10" t="s">
        <v>62</v>
      </c>
      <c r="L22" s="11" t="s">
        <v>232</v>
      </c>
      <c r="M22" s="10" t="s">
        <v>64</v>
      </c>
      <c r="N22" s="10"/>
      <c r="O22" s="10" t="s">
        <v>65</v>
      </c>
      <c r="P22" s="10" t="s">
        <v>66</v>
      </c>
      <c r="Q22" s="12" t="s">
        <v>79</v>
      </c>
      <c r="R22" s="10" t="s">
        <v>80</v>
      </c>
      <c r="S22" s="10" t="s">
        <v>69</v>
      </c>
      <c r="T22" s="13" t="s">
        <v>70</v>
      </c>
      <c r="U22" s="13"/>
      <c r="V22" s="14"/>
    </row>
    <row r="23" customFormat="false" ht="23.85" hidden="false" customHeight="false" outlineLevel="0" collapsed="false">
      <c r="A23" s="10" t="s">
        <v>233</v>
      </c>
      <c r="B23" s="10" t="s">
        <v>54</v>
      </c>
      <c r="C23" s="10" t="s">
        <v>55</v>
      </c>
      <c r="D23" s="10" t="s">
        <v>56</v>
      </c>
      <c r="E23" s="10" t="n">
        <v>4</v>
      </c>
      <c r="F23" s="11" t="s">
        <v>234</v>
      </c>
      <c r="G23" s="10" t="s">
        <v>235</v>
      </c>
      <c r="H23" s="10" t="s">
        <v>236</v>
      </c>
      <c r="I23" s="10" t="s">
        <v>237</v>
      </c>
      <c r="J23" s="10" t="s">
        <v>238</v>
      </c>
      <c r="K23" s="10" t="s">
        <v>62</v>
      </c>
      <c r="L23" s="11" t="s">
        <v>239</v>
      </c>
      <c r="M23" s="10" t="s">
        <v>64</v>
      </c>
      <c r="N23" s="10"/>
      <c r="O23" s="10" t="s">
        <v>65</v>
      </c>
      <c r="P23" s="10" t="s">
        <v>66</v>
      </c>
      <c r="Q23" s="12" t="s">
        <v>240</v>
      </c>
      <c r="R23" s="10" t="s">
        <v>241</v>
      </c>
      <c r="S23" s="10" t="s">
        <v>69</v>
      </c>
      <c r="T23" s="13" t="s">
        <v>70</v>
      </c>
      <c r="U23" s="13"/>
      <c r="V23" s="14"/>
    </row>
    <row r="24" customFormat="false" ht="23.85" hidden="false" customHeight="false" outlineLevel="0" collapsed="false">
      <c r="A24" s="10" t="s">
        <v>242</v>
      </c>
      <c r="B24" s="10" t="s">
        <v>54</v>
      </c>
      <c r="C24" s="10" t="s">
        <v>55</v>
      </c>
      <c r="D24" s="10" t="s">
        <v>56</v>
      </c>
      <c r="E24" s="10" t="n">
        <v>4</v>
      </c>
      <c r="F24" s="11" t="s">
        <v>243</v>
      </c>
      <c r="G24" s="10" t="s">
        <v>224</v>
      </c>
      <c r="H24" s="10" t="s">
        <v>223</v>
      </c>
      <c r="I24" s="10" t="s">
        <v>244</v>
      </c>
      <c r="J24" s="10" t="s">
        <v>225</v>
      </c>
      <c r="K24" s="10" t="s">
        <v>62</v>
      </c>
      <c r="L24" s="11" t="s">
        <v>245</v>
      </c>
      <c r="M24" s="10" t="s">
        <v>64</v>
      </c>
      <c r="N24" s="10"/>
      <c r="O24" s="10" t="s">
        <v>65</v>
      </c>
      <c r="P24" s="10" t="s">
        <v>66</v>
      </c>
      <c r="Q24" s="12" t="s">
        <v>246</v>
      </c>
      <c r="R24" s="10" t="s">
        <v>247</v>
      </c>
      <c r="S24" s="10" t="s">
        <v>69</v>
      </c>
      <c r="T24" s="13" t="s">
        <v>70</v>
      </c>
      <c r="U24" s="13"/>
      <c r="V24" s="14"/>
    </row>
    <row r="25" customFormat="false" ht="23.85" hidden="false" customHeight="false" outlineLevel="0" collapsed="false">
      <c r="A25" s="10" t="s">
        <v>248</v>
      </c>
      <c r="B25" s="10" t="s">
        <v>54</v>
      </c>
      <c r="C25" s="10" t="s">
        <v>55</v>
      </c>
      <c r="D25" s="10" t="s">
        <v>56</v>
      </c>
      <c r="E25" s="10" t="n">
        <v>4</v>
      </c>
      <c r="F25" s="11" t="s">
        <v>249</v>
      </c>
      <c r="G25" s="10" t="s">
        <v>222</v>
      </c>
      <c r="H25" s="10" t="s">
        <v>250</v>
      </c>
      <c r="I25" s="10" t="s">
        <v>162</v>
      </c>
      <c r="J25" s="10" t="s">
        <v>251</v>
      </c>
      <c r="K25" s="10" t="s">
        <v>62</v>
      </c>
      <c r="L25" s="11" t="s">
        <v>252</v>
      </c>
      <c r="M25" s="10" t="s">
        <v>64</v>
      </c>
      <c r="N25" s="10"/>
      <c r="O25" s="10" t="s">
        <v>65</v>
      </c>
      <c r="P25" s="10" t="s">
        <v>66</v>
      </c>
      <c r="Q25" s="12" t="s">
        <v>253</v>
      </c>
      <c r="R25" s="10" t="s">
        <v>254</v>
      </c>
      <c r="S25" s="10" t="s">
        <v>69</v>
      </c>
      <c r="T25" s="13" t="s">
        <v>70</v>
      </c>
      <c r="U25" s="13"/>
      <c r="V25" s="14"/>
    </row>
    <row r="26" customFormat="false" ht="23.85" hidden="false" customHeight="false" outlineLevel="0" collapsed="false">
      <c r="A26" s="10" t="s">
        <v>255</v>
      </c>
      <c r="B26" s="10" t="s">
        <v>54</v>
      </c>
      <c r="C26" s="10" t="s">
        <v>55</v>
      </c>
      <c r="D26" s="10" t="s">
        <v>56</v>
      </c>
      <c r="E26" s="10" t="n">
        <v>4</v>
      </c>
      <c r="F26" s="11" t="s">
        <v>256</v>
      </c>
      <c r="G26" s="10" t="s">
        <v>257</v>
      </c>
      <c r="H26" s="10" t="s">
        <v>258</v>
      </c>
      <c r="I26" s="10" t="s">
        <v>259</v>
      </c>
      <c r="J26" s="10" t="s">
        <v>260</v>
      </c>
      <c r="K26" s="10" t="s">
        <v>62</v>
      </c>
      <c r="L26" s="11" t="s">
        <v>261</v>
      </c>
      <c r="M26" s="10" t="s">
        <v>64</v>
      </c>
      <c r="N26" s="10" t="s">
        <v>217</v>
      </c>
      <c r="O26" s="10" t="s">
        <v>65</v>
      </c>
      <c r="P26" s="10" t="s">
        <v>66</v>
      </c>
      <c r="Q26" s="12" t="s">
        <v>262</v>
      </c>
      <c r="R26" s="10" t="s">
        <v>263</v>
      </c>
      <c r="S26" s="10" t="s">
        <v>69</v>
      </c>
      <c r="T26" s="13" t="s">
        <v>70</v>
      </c>
      <c r="U26" s="13"/>
      <c r="V26" s="14"/>
    </row>
    <row r="27" customFormat="false" ht="23.85" hidden="false" customHeight="false" outlineLevel="0" collapsed="false">
      <c r="A27" s="10" t="s">
        <v>264</v>
      </c>
      <c r="B27" s="10" t="s">
        <v>54</v>
      </c>
      <c r="C27" s="10" t="s">
        <v>55</v>
      </c>
      <c r="D27" s="10" t="s">
        <v>213</v>
      </c>
      <c r="E27" s="10" t="n">
        <v>4</v>
      </c>
      <c r="F27" s="11" t="s">
        <v>265</v>
      </c>
      <c r="G27" s="10"/>
      <c r="H27" s="10"/>
      <c r="I27" s="10"/>
      <c r="J27" s="10"/>
      <c r="K27" s="10" t="s">
        <v>266</v>
      </c>
      <c r="L27" s="11" t="s">
        <v>267</v>
      </c>
      <c r="M27" s="10" t="s">
        <v>64</v>
      </c>
      <c r="N27" s="10"/>
      <c r="O27" s="10" t="s">
        <v>65</v>
      </c>
      <c r="P27" s="10" t="s">
        <v>66</v>
      </c>
      <c r="Q27" s="12" t="s">
        <v>268</v>
      </c>
      <c r="R27" s="10" t="s">
        <v>269</v>
      </c>
      <c r="S27" s="10" t="s">
        <v>69</v>
      </c>
      <c r="T27" s="13" t="s">
        <v>70</v>
      </c>
      <c r="U27" s="13"/>
      <c r="V27" s="14"/>
    </row>
    <row r="28" customFormat="false" ht="23.85" hidden="false" customHeight="false" outlineLevel="0" collapsed="false">
      <c r="A28" s="10" t="s">
        <v>270</v>
      </c>
      <c r="B28" s="10" t="s">
        <v>54</v>
      </c>
      <c r="C28" s="10" t="s">
        <v>55</v>
      </c>
      <c r="D28" s="10" t="s">
        <v>56</v>
      </c>
      <c r="E28" s="10" t="n">
        <v>4</v>
      </c>
      <c r="F28" s="11" t="s">
        <v>271</v>
      </c>
      <c r="G28" s="10" t="s">
        <v>272</v>
      </c>
      <c r="H28" s="10" t="s">
        <v>84</v>
      </c>
      <c r="I28" s="10" t="s">
        <v>273</v>
      </c>
      <c r="J28" s="10" t="s">
        <v>274</v>
      </c>
      <c r="K28" s="10" t="s">
        <v>62</v>
      </c>
      <c r="L28" s="11" t="s">
        <v>275</v>
      </c>
      <c r="M28" s="10" t="s">
        <v>64</v>
      </c>
      <c r="N28" s="10"/>
      <c r="O28" s="10" t="s">
        <v>65</v>
      </c>
      <c r="P28" s="10" t="s">
        <v>66</v>
      </c>
      <c r="Q28" s="12" t="s">
        <v>181</v>
      </c>
      <c r="R28" s="10" t="s">
        <v>182</v>
      </c>
      <c r="S28" s="10" t="s">
        <v>69</v>
      </c>
      <c r="T28" s="13" t="s">
        <v>70</v>
      </c>
      <c r="U28" s="13"/>
      <c r="V28" s="14"/>
    </row>
    <row r="29" customFormat="false" ht="35.05" hidden="false" customHeight="false" outlineLevel="0" collapsed="false">
      <c r="A29" s="10" t="s">
        <v>276</v>
      </c>
      <c r="B29" s="10" t="s">
        <v>54</v>
      </c>
      <c r="C29" s="10" t="s">
        <v>55</v>
      </c>
      <c r="D29" s="10" t="s">
        <v>56</v>
      </c>
      <c r="E29" s="10" t="n">
        <v>5</v>
      </c>
      <c r="F29" s="11" t="s">
        <v>277</v>
      </c>
      <c r="G29" s="10" t="s">
        <v>278</v>
      </c>
      <c r="H29" s="10" t="s">
        <v>187</v>
      </c>
      <c r="I29" s="10" t="s">
        <v>192</v>
      </c>
      <c r="J29" s="10" t="s">
        <v>279</v>
      </c>
      <c r="K29" s="10" t="s">
        <v>62</v>
      </c>
      <c r="L29" s="11" t="s">
        <v>280</v>
      </c>
      <c r="M29" s="10" t="s">
        <v>64</v>
      </c>
      <c r="N29" s="10"/>
      <c r="O29" s="10" t="s">
        <v>65</v>
      </c>
      <c r="P29" s="10" t="s">
        <v>66</v>
      </c>
      <c r="Q29" s="12" t="s">
        <v>281</v>
      </c>
      <c r="R29" s="10" t="s">
        <v>282</v>
      </c>
      <c r="S29" s="10" t="s">
        <v>69</v>
      </c>
      <c r="T29" s="13" t="s">
        <v>70</v>
      </c>
      <c r="U29" s="13"/>
      <c r="V29" s="14"/>
    </row>
    <row r="30" customFormat="false" ht="23.85" hidden="false" customHeight="false" outlineLevel="0" collapsed="false">
      <c r="A30" s="10" t="s">
        <v>283</v>
      </c>
      <c r="B30" s="10" t="s">
        <v>54</v>
      </c>
      <c r="C30" s="10" t="s">
        <v>55</v>
      </c>
      <c r="D30" s="10" t="s">
        <v>56</v>
      </c>
      <c r="E30" s="10" t="n">
        <v>5</v>
      </c>
      <c r="F30" s="11" t="s">
        <v>284</v>
      </c>
      <c r="G30" s="10" t="s">
        <v>285</v>
      </c>
      <c r="H30" s="10" t="s">
        <v>244</v>
      </c>
      <c r="I30" s="10" t="s">
        <v>286</v>
      </c>
      <c r="J30" s="10" t="s">
        <v>287</v>
      </c>
      <c r="K30" s="10" t="s">
        <v>62</v>
      </c>
      <c r="L30" s="11" t="s">
        <v>288</v>
      </c>
      <c r="M30" s="10" t="s">
        <v>64</v>
      </c>
      <c r="N30" s="10"/>
      <c r="O30" s="10" t="s">
        <v>65</v>
      </c>
      <c r="P30" s="10" t="s">
        <v>66</v>
      </c>
      <c r="Q30" s="12" t="s">
        <v>289</v>
      </c>
      <c r="R30" s="10" t="s">
        <v>290</v>
      </c>
      <c r="S30" s="10" t="s">
        <v>69</v>
      </c>
      <c r="T30" s="13" t="s">
        <v>70</v>
      </c>
      <c r="U30" s="13"/>
      <c r="V30" s="14"/>
    </row>
    <row r="31" customFormat="false" ht="23.85" hidden="false" customHeight="false" outlineLevel="0" collapsed="false">
      <c r="A31" s="10" t="s">
        <v>291</v>
      </c>
      <c r="B31" s="10" t="s">
        <v>54</v>
      </c>
      <c r="C31" s="10" t="s">
        <v>55</v>
      </c>
      <c r="D31" s="10" t="s">
        <v>213</v>
      </c>
      <c r="E31" s="10" t="n">
        <v>5</v>
      </c>
      <c r="F31" s="11" t="s">
        <v>292</v>
      </c>
      <c r="G31" s="10"/>
      <c r="H31" s="10"/>
      <c r="I31" s="10"/>
      <c r="J31" s="10"/>
      <c r="K31" s="10" t="s">
        <v>293</v>
      </c>
      <c r="L31" s="11" t="s">
        <v>294</v>
      </c>
      <c r="M31" s="10" t="s">
        <v>64</v>
      </c>
      <c r="N31" s="10" t="s">
        <v>217</v>
      </c>
      <c r="O31" s="10" t="s">
        <v>65</v>
      </c>
      <c r="P31" s="10" t="s">
        <v>66</v>
      </c>
      <c r="Q31" s="12" t="s">
        <v>295</v>
      </c>
      <c r="R31" s="10" t="s">
        <v>296</v>
      </c>
      <c r="S31" s="10" t="s">
        <v>69</v>
      </c>
      <c r="T31" s="13" t="s">
        <v>70</v>
      </c>
      <c r="U31" s="13"/>
      <c r="V31" s="14"/>
    </row>
    <row r="32" customFormat="false" ht="23.85" hidden="false" customHeight="false" outlineLevel="0" collapsed="false">
      <c r="A32" s="10" t="s">
        <v>297</v>
      </c>
      <c r="B32" s="10" t="s">
        <v>54</v>
      </c>
      <c r="C32" s="10" t="s">
        <v>55</v>
      </c>
      <c r="D32" s="10" t="s">
        <v>56</v>
      </c>
      <c r="E32" s="10" t="n">
        <v>5</v>
      </c>
      <c r="F32" s="11" t="s">
        <v>298</v>
      </c>
      <c r="G32" s="10" t="s">
        <v>179</v>
      </c>
      <c r="H32" s="10" t="s">
        <v>299</v>
      </c>
      <c r="I32" s="10" t="s">
        <v>113</v>
      </c>
      <c r="J32" s="10" t="s">
        <v>300</v>
      </c>
      <c r="K32" s="10" t="s">
        <v>62</v>
      </c>
      <c r="L32" s="11" t="s">
        <v>301</v>
      </c>
      <c r="M32" s="10" t="s">
        <v>64</v>
      </c>
      <c r="N32" s="10"/>
      <c r="O32" s="10" t="s">
        <v>65</v>
      </c>
      <c r="P32" s="10" t="s">
        <v>66</v>
      </c>
      <c r="Q32" s="12" t="s">
        <v>302</v>
      </c>
      <c r="R32" s="10" t="s">
        <v>303</v>
      </c>
      <c r="S32" s="10" t="s">
        <v>69</v>
      </c>
      <c r="T32" s="13" t="s">
        <v>70</v>
      </c>
      <c r="U32" s="13"/>
      <c r="V32" s="14"/>
    </row>
    <row r="33" customFormat="false" ht="46.25" hidden="false" customHeight="false" outlineLevel="0" collapsed="false">
      <c r="A33" s="10" t="s">
        <v>304</v>
      </c>
      <c r="B33" s="10" t="s">
        <v>54</v>
      </c>
      <c r="C33" s="10" t="s">
        <v>55</v>
      </c>
      <c r="D33" s="10" t="s">
        <v>56</v>
      </c>
      <c r="E33" s="10" t="n">
        <v>5</v>
      </c>
      <c r="F33" s="11" t="s">
        <v>305</v>
      </c>
      <c r="G33" s="10" t="s">
        <v>306</v>
      </c>
      <c r="H33" s="10" t="s">
        <v>307</v>
      </c>
      <c r="I33" s="10" t="s">
        <v>308</v>
      </c>
      <c r="J33" s="10" t="s">
        <v>309</v>
      </c>
      <c r="K33" s="10" t="s">
        <v>62</v>
      </c>
      <c r="L33" s="11" t="s">
        <v>310</v>
      </c>
      <c r="M33" s="10" t="s">
        <v>64</v>
      </c>
      <c r="N33" s="10"/>
      <c r="O33" s="10" t="s">
        <v>65</v>
      </c>
      <c r="P33" s="10" t="s">
        <v>66</v>
      </c>
      <c r="Q33" s="12" t="s">
        <v>79</v>
      </c>
      <c r="R33" s="10" t="s">
        <v>80</v>
      </c>
      <c r="S33" s="10" t="s">
        <v>69</v>
      </c>
      <c r="T33" s="13" t="s">
        <v>70</v>
      </c>
      <c r="U33" s="13"/>
      <c r="V33" s="14" t="s">
        <v>311</v>
      </c>
    </row>
    <row r="34" customFormat="false" ht="23.85" hidden="false" customHeight="false" outlineLevel="0" collapsed="false">
      <c r="A34" s="10" t="s">
        <v>312</v>
      </c>
      <c r="B34" s="10" t="s">
        <v>54</v>
      </c>
      <c r="C34" s="10" t="s">
        <v>313</v>
      </c>
      <c r="D34" s="10" t="s">
        <v>56</v>
      </c>
      <c r="E34" s="10" t="n">
        <v>1</v>
      </c>
      <c r="F34" s="11" t="s">
        <v>314</v>
      </c>
      <c r="G34" s="10" t="s">
        <v>315</v>
      </c>
      <c r="H34" s="10" t="s">
        <v>316</v>
      </c>
      <c r="I34" s="10" t="s">
        <v>317</v>
      </c>
      <c r="J34" s="10" t="s">
        <v>318</v>
      </c>
      <c r="K34" s="10" t="s">
        <v>62</v>
      </c>
      <c r="L34" s="11" t="s">
        <v>319</v>
      </c>
      <c r="M34" s="10" t="s">
        <v>64</v>
      </c>
      <c r="N34" s="10"/>
      <c r="O34" s="10" t="s">
        <v>320</v>
      </c>
      <c r="P34" s="10" t="s">
        <v>66</v>
      </c>
      <c r="Q34" s="12" t="s">
        <v>321</v>
      </c>
      <c r="R34" s="10" t="s">
        <v>322</v>
      </c>
      <c r="S34" s="10" t="s">
        <v>69</v>
      </c>
      <c r="T34" s="13" t="s">
        <v>70</v>
      </c>
      <c r="U34" s="13"/>
      <c r="V34" s="14"/>
    </row>
    <row r="35" customFormat="false" ht="35.05" hidden="false" customHeight="false" outlineLevel="0" collapsed="false">
      <c r="A35" s="10" t="s">
        <v>323</v>
      </c>
      <c r="B35" s="10" t="s">
        <v>54</v>
      </c>
      <c r="C35" s="10" t="s">
        <v>324</v>
      </c>
      <c r="D35" s="10" t="s">
        <v>56</v>
      </c>
      <c r="E35" s="10" t="n">
        <v>1</v>
      </c>
      <c r="F35" s="11" t="s">
        <v>325</v>
      </c>
      <c r="G35" s="10" t="s">
        <v>326</v>
      </c>
      <c r="H35" s="10" t="s">
        <v>327</v>
      </c>
      <c r="I35" s="10" t="s">
        <v>328</v>
      </c>
      <c r="J35" s="10" t="s">
        <v>329</v>
      </c>
      <c r="K35" s="10" t="s">
        <v>62</v>
      </c>
      <c r="L35" s="11" t="s">
        <v>330</v>
      </c>
      <c r="M35" s="10" t="s">
        <v>64</v>
      </c>
      <c r="N35" s="10"/>
      <c r="O35" s="10" t="s">
        <v>331</v>
      </c>
      <c r="P35" s="10" t="s">
        <v>66</v>
      </c>
      <c r="Q35" s="12" t="s">
        <v>332</v>
      </c>
      <c r="R35" s="10" t="s">
        <v>333</v>
      </c>
      <c r="S35" s="10" t="s">
        <v>69</v>
      </c>
      <c r="T35" s="13" t="s">
        <v>70</v>
      </c>
      <c r="U35" s="13"/>
      <c r="V35" s="14"/>
    </row>
    <row r="36" customFormat="false" ht="23.85" hidden="false" customHeight="false" outlineLevel="0" collapsed="false">
      <c r="A36" s="10" t="s">
        <v>334</v>
      </c>
      <c r="B36" s="10" t="s">
        <v>54</v>
      </c>
      <c r="C36" s="10" t="s">
        <v>324</v>
      </c>
      <c r="D36" s="10" t="s">
        <v>56</v>
      </c>
      <c r="E36" s="10" t="n">
        <v>1</v>
      </c>
      <c r="F36" s="11" t="s">
        <v>335</v>
      </c>
      <c r="G36" s="10" t="s">
        <v>336</v>
      </c>
      <c r="H36" s="10" t="s">
        <v>337</v>
      </c>
      <c r="I36" s="10" t="s">
        <v>338</v>
      </c>
      <c r="J36" s="10" t="s">
        <v>339</v>
      </c>
      <c r="K36" s="10" t="s">
        <v>62</v>
      </c>
      <c r="L36" s="11" t="s">
        <v>340</v>
      </c>
      <c r="M36" s="10" t="s">
        <v>64</v>
      </c>
      <c r="N36" s="10"/>
      <c r="O36" s="10" t="s">
        <v>331</v>
      </c>
      <c r="P36" s="10" t="s">
        <v>66</v>
      </c>
      <c r="Q36" s="12" t="s">
        <v>341</v>
      </c>
      <c r="R36" s="10" t="s">
        <v>342</v>
      </c>
      <c r="S36" s="10" t="s">
        <v>69</v>
      </c>
      <c r="T36" s="13" t="s">
        <v>70</v>
      </c>
      <c r="U36" s="13"/>
      <c r="V36" s="14"/>
    </row>
    <row r="37" customFormat="false" ht="23.85" hidden="false" customHeight="false" outlineLevel="0" collapsed="false">
      <c r="A37" s="10" t="s">
        <v>343</v>
      </c>
      <c r="B37" s="10" t="s">
        <v>54</v>
      </c>
      <c r="C37" s="10" t="s">
        <v>344</v>
      </c>
      <c r="D37" s="10" t="s">
        <v>56</v>
      </c>
      <c r="E37" s="10" t="n">
        <v>1</v>
      </c>
      <c r="F37" s="11" t="s">
        <v>345</v>
      </c>
      <c r="G37" s="10" t="s">
        <v>346</v>
      </c>
      <c r="H37" s="10" t="s">
        <v>347</v>
      </c>
      <c r="I37" s="10" t="s">
        <v>348</v>
      </c>
      <c r="J37" s="10" t="s">
        <v>349</v>
      </c>
      <c r="K37" s="10" t="s">
        <v>62</v>
      </c>
      <c r="L37" s="11" t="s">
        <v>350</v>
      </c>
      <c r="M37" s="10" t="s">
        <v>64</v>
      </c>
      <c r="N37" s="10"/>
      <c r="O37" s="10" t="s">
        <v>65</v>
      </c>
      <c r="P37" s="10" t="s">
        <v>66</v>
      </c>
      <c r="Q37" s="12" t="s">
        <v>351</v>
      </c>
      <c r="R37" s="10" t="s">
        <v>352</v>
      </c>
      <c r="S37" s="10" t="s">
        <v>69</v>
      </c>
      <c r="T37" s="13" t="s">
        <v>70</v>
      </c>
      <c r="U37" s="13"/>
      <c r="V37" s="14"/>
    </row>
    <row r="38" customFormat="false" ht="23.85" hidden="false" customHeight="false" outlineLevel="0" collapsed="false">
      <c r="A38" s="10" t="s">
        <v>353</v>
      </c>
      <c r="B38" s="10" t="s">
        <v>54</v>
      </c>
      <c r="C38" s="10" t="s">
        <v>354</v>
      </c>
      <c r="D38" s="10" t="s">
        <v>56</v>
      </c>
      <c r="E38" s="10" t="n">
        <v>1</v>
      </c>
      <c r="F38" s="11" t="s">
        <v>355</v>
      </c>
      <c r="G38" s="10" t="s">
        <v>356</v>
      </c>
      <c r="H38" s="10" t="s">
        <v>357</v>
      </c>
      <c r="I38" s="10" t="s">
        <v>358</v>
      </c>
      <c r="J38" s="10" t="s">
        <v>359</v>
      </c>
      <c r="K38" s="10" t="s">
        <v>62</v>
      </c>
      <c r="L38" s="11" t="s">
        <v>360</v>
      </c>
      <c r="M38" s="10" t="s">
        <v>64</v>
      </c>
      <c r="N38" s="10"/>
      <c r="O38" s="10" t="s">
        <v>361</v>
      </c>
      <c r="P38" s="10" t="s">
        <v>66</v>
      </c>
      <c r="Q38" s="12" t="s">
        <v>362</v>
      </c>
      <c r="R38" s="10" t="s">
        <v>363</v>
      </c>
      <c r="S38" s="10" t="s">
        <v>69</v>
      </c>
      <c r="T38" s="13" t="s">
        <v>70</v>
      </c>
      <c r="U38" s="13"/>
      <c r="V38" s="14"/>
    </row>
    <row r="39" customFormat="false" ht="35.05" hidden="false" customHeight="false" outlineLevel="0" collapsed="false">
      <c r="A39" s="10" t="s">
        <v>364</v>
      </c>
      <c r="B39" s="10" t="s">
        <v>54</v>
      </c>
      <c r="C39" s="10" t="s">
        <v>344</v>
      </c>
      <c r="D39" s="10" t="s">
        <v>56</v>
      </c>
      <c r="E39" s="10" t="n">
        <v>2</v>
      </c>
      <c r="F39" s="11" t="s">
        <v>365</v>
      </c>
      <c r="G39" s="10" t="s">
        <v>366</v>
      </c>
      <c r="H39" s="10" t="s">
        <v>367</v>
      </c>
      <c r="I39" s="10" t="s">
        <v>368</v>
      </c>
      <c r="J39" s="10" t="s">
        <v>369</v>
      </c>
      <c r="K39" s="10" t="s">
        <v>62</v>
      </c>
      <c r="L39" s="11" t="s">
        <v>370</v>
      </c>
      <c r="M39" s="10" t="s">
        <v>64</v>
      </c>
      <c r="N39" s="10"/>
      <c r="O39" s="10" t="s">
        <v>320</v>
      </c>
      <c r="P39" s="10" t="s">
        <v>66</v>
      </c>
      <c r="Q39" s="12" t="s">
        <v>371</v>
      </c>
      <c r="R39" s="10" t="s">
        <v>372</v>
      </c>
      <c r="S39" s="10" t="s">
        <v>69</v>
      </c>
      <c r="T39" s="13" t="s">
        <v>70</v>
      </c>
      <c r="U39" s="13"/>
      <c r="V39" s="14"/>
    </row>
    <row r="40" customFormat="false" ht="35.05" hidden="false" customHeight="false" outlineLevel="0" collapsed="false">
      <c r="A40" s="10" t="s">
        <v>373</v>
      </c>
      <c r="B40" s="10" t="s">
        <v>54</v>
      </c>
      <c r="C40" s="10" t="s">
        <v>344</v>
      </c>
      <c r="D40" s="10" t="s">
        <v>56</v>
      </c>
      <c r="E40" s="10" t="n">
        <v>2</v>
      </c>
      <c r="F40" s="11" t="s">
        <v>374</v>
      </c>
      <c r="G40" s="10" t="s">
        <v>375</v>
      </c>
      <c r="H40" s="10" t="s">
        <v>366</v>
      </c>
      <c r="I40" s="10" t="s">
        <v>376</v>
      </c>
      <c r="J40" s="10" t="s">
        <v>367</v>
      </c>
      <c r="K40" s="10" t="s">
        <v>62</v>
      </c>
      <c r="L40" s="11" t="s">
        <v>377</v>
      </c>
      <c r="M40" s="10" t="s">
        <v>64</v>
      </c>
      <c r="N40" s="10"/>
      <c r="O40" s="10" t="s">
        <v>361</v>
      </c>
      <c r="P40" s="10" t="s">
        <v>66</v>
      </c>
      <c r="Q40" s="12" t="s">
        <v>378</v>
      </c>
      <c r="R40" s="10" t="s">
        <v>379</v>
      </c>
      <c r="S40" s="10" t="s">
        <v>69</v>
      </c>
      <c r="T40" s="13" t="s">
        <v>70</v>
      </c>
      <c r="U40" s="13"/>
      <c r="V40" s="14"/>
    </row>
    <row r="41" customFormat="false" ht="35.05" hidden="false" customHeight="false" outlineLevel="0" collapsed="false">
      <c r="A41" s="10" t="s">
        <v>380</v>
      </c>
      <c r="B41" s="10" t="s">
        <v>54</v>
      </c>
      <c r="C41" s="10" t="s">
        <v>313</v>
      </c>
      <c r="D41" s="10" t="s">
        <v>56</v>
      </c>
      <c r="E41" s="10" t="n">
        <v>2</v>
      </c>
      <c r="F41" s="11" t="s">
        <v>381</v>
      </c>
      <c r="G41" s="10" t="s">
        <v>382</v>
      </c>
      <c r="H41" s="10" t="s">
        <v>383</v>
      </c>
      <c r="I41" s="10" t="s">
        <v>384</v>
      </c>
      <c r="J41" s="10" t="s">
        <v>385</v>
      </c>
      <c r="K41" s="10" t="s">
        <v>62</v>
      </c>
      <c r="L41" s="11" t="s">
        <v>386</v>
      </c>
      <c r="M41" s="10" t="s">
        <v>64</v>
      </c>
      <c r="N41" s="10"/>
      <c r="O41" s="10" t="s">
        <v>320</v>
      </c>
      <c r="P41" s="10" t="s">
        <v>66</v>
      </c>
      <c r="Q41" s="12" t="s">
        <v>387</v>
      </c>
      <c r="R41" s="10" t="s">
        <v>388</v>
      </c>
      <c r="S41" s="10" t="s">
        <v>69</v>
      </c>
      <c r="T41" s="13" t="s">
        <v>70</v>
      </c>
      <c r="U41" s="13"/>
      <c r="V41" s="14"/>
    </row>
    <row r="42" customFormat="false" ht="35.05" hidden="false" customHeight="false" outlineLevel="0" collapsed="false">
      <c r="A42" s="10" t="s">
        <v>389</v>
      </c>
      <c r="B42" s="10" t="s">
        <v>54</v>
      </c>
      <c r="C42" s="10" t="s">
        <v>354</v>
      </c>
      <c r="D42" s="10" t="s">
        <v>56</v>
      </c>
      <c r="E42" s="10" t="n">
        <v>2</v>
      </c>
      <c r="F42" s="11" t="s">
        <v>390</v>
      </c>
      <c r="G42" s="10" t="s">
        <v>391</v>
      </c>
      <c r="H42" s="10" t="s">
        <v>392</v>
      </c>
      <c r="I42" s="10" t="s">
        <v>393</v>
      </c>
      <c r="J42" s="10" t="s">
        <v>394</v>
      </c>
      <c r="K42" s="10" t="s">
        <v>62</v>
      </c>
      <c r="L42" s="11" t="s">
        <v>395</v>
      </c>
      <c r="M42" s="10" t="s">
        <v>64</v>
      </c>
      <c r="N42" s="10"/>
      <c r="O42" s="10" t="s">
        <v>320</v>
      </c>
      <c r="P42" s="10" t="s">
        <v>66</v>
      </c>
      <c r="Q42" s="12" t="s">
        <v>396</v>
      </c>
      <c r="R42" s="10" t="s">
        <v>397</v>
      </c>
      <c r="S42" s="10" t="s">
        <v>69</v>
      </c>
      <c r="T42" s="13" t="s">
        <v>70</v>
      </c>
      <c r="U42" s="13"/>
      <c r="V42" s="14" t="s">
        <v>398</v>
      </c>
    </row>
    <row r="43" customFormat="false" ht="35.05" hidden="false" customHeight="false" outlineLevel="0" collapsed="false">
      <c r="A43" s="10" t="s">
        <v>399</v>
      </c>
      <c r="B43" s="10" t="s">
        <v>54</v>
      </c>
      <c r="C43" s="10" t="s">
        <v>400</v>
      </c>
      <c r="D43" s="10" t="s">
        <v>56</v>
      </c>
      <c r="E43" s="10" t="n">
        <v>2</v>
      </c>
      <c r="F43" s="11" t="s">
        <v>401</v>
      </c>
      <c r="G43" s="10" t="s">
        <v>402</v>
      </c>
      <c r="H43" s="10" t="s">
        <v>403</v>
      </c>
      <c r="I43" s="10" t="s">
        <v>404</v>
      </c>
      <c r="J43" s="10" t="s">
        <v>405</v>
      </c>
      <c r="K43" s="10" t="s">
        <v>62</v>
      </c>
      <c r="L43" s="11" t="s">
        <v>406</v>
      </c>
      <c r="M43" s="10" t="s">
        <v>64</v>
      </c>
      <c r="N43" s="10"/>
      <c r="O43" s="10" t="s">
        <v>65</v>
      </c>
      <c r="P43" s="10" t="s">
        <v>66</v>
      </c>
      <c r="Q43" s="12" t="s">
        <v>407</v>
      </c>
      <c r="R43" s="10" t="s">
        <v>408</v>
      </c>
      <c r="S43" s="10" t="s">
        <v>69</v>
      </c>
      <c r="T43" s="13" t="s">
        <v>70</v>
      </c>
      <c r="U43" s="13"/>
      <c r="V43" s="14"/>
    </row>
    <row r="44" customFormat="false" ht="23.85" hidden="false" customHeight="false" outlineLevel="0" collapsed="false">
      <c r="A44" s="10" t="s">
        <v>409</v>
      </c>
      <c r="B44" s="10" t="s">
        <v>54</v>
      </c>
      <c r="C44" s="10" t="s">
        <v>400</v>
      </c>
      <c r="D44" s="10" t="s">
        <v>56</v>
      </c>
      <c r="E44" s="10" t="n">
        <v>2</v>
      </c>
      <c r="F44" s="11" t="s">
        <v>410</v>
      </c>
      <c r="G44" s="10" t="s">
        <v>411</v>
      </c>
      <c r="H44" s="10" t="s">
        <v>412</v>
      </c>
      <c r="I44" s="10" t="s">
        <v>413</v>
      </c>
      <c r="J44" s="10" t="s">
        <v>414</v>
      </c>
      <c r="K44" s="10" t="s">
        <v>62</v>
      </c>
      <c r="L44" s="11" t="s">
        <v>415</v>
      </c>
      <c r="M44" s="10" t="s">
        <v>64</v>
      </c>
      <c r="N44" s="10"/>
      <c r="O44" s="10" t="s">
        <v>65</v>
      </c>
      <c r="P44" s="10" t="s">
        <v>66</v>
      </c>
      <c r="Q44" s="12" t="s">
        <v>416</v>
      </c>
      <c r="R44" s="10" t="s">
        <v>417</v>
      </c>
      <c r="S44" s="10" t="s">
        <v>69</v>
      </c>
      <c r="T44" s="13" t="s">
        <v>70</v>
      </c>
      <c r="U44" s="13"/>
      <c r="V44" s="14" t="s">
        <v>418</v>
      </c>
    </row>
    <row r="45" customFormat="false" ht="23.85" hidden="false" customHeight="false" outlineLevel="0" collapsed="false">
      <c r="A45" s="10" t="s">
        <v>419</v>
      </c>
      <c r="B45" s="10" t="s">
        <v>54</v>
      </c>
      <c r="C45" s="10" t="s">
        <v>420</v>
      </c>
      <c r="D45" s="10" t="s">
        <v>56</v>
      </c>
      <c r="E45" s="10" t="n">
        <v>3</v>
      </c>
      <c r="F45" s="11" t="s">
        <v>421</v>
      </c>
      <c r="G45" s="10" t="s">
        <v>422</v>
      </c>
      <c r="H45" s="10" t="s">
        <v>423</v>
      </c>
      <c r="I45" s="10" t="s">
        <v>424</v>
      </c>
      <c r="J45" s="10" t="s">
        <v>425</v>
      </c>
      <c r="K45" s="10" t="s">
        <v>62</v>
      </c>
      <c r="L45" s="11" t="s">
        <v>426</v>
      </c>
      <c r="M45" s="10" t="s">
        <v>64</v>
      </c>
      <c r="N45" s="10"/>
      <c r="O45" s="10" t="s">
        <v>427</v>
      </c>
      <c r="P45" s="10" t="s">
        <v>66</v>
      </c>
      <c r="Q45" s="12" t="s">
        <v>428</v>
      </c>
      <c r="R45" s="10" t="s">
        <v>429</v>
      </c>
      <c r="S45" s="10" t="s">
        <v>69</v>
      </c>
      <c r="T45" s="13" t="s">
        <v>70</v>
      </c>
      <c r="U45" s="13"/>
      <c r="V45" s="14"/>
    </row>
    <row r="46" customFormat="false" ht="35.05" hidden="false" customHeight="false" outlineLevel="0" collapsed="false">
      <c r="A46" s="10" t="s">
        <v>430</v>
      </c>
      <c r="B46" s="10" t="s">
        <v>54</v>
      </c>
      <c r="C46" s="10" t="s">
        <v>420</v>
      </c>
      <c r="D46" s="10" t="s">
        <v>56</v>
      </c>
      <c r="E46" s="10" t="n">
        <v>3</v>
      </c>
      <c r="F46" s="11" t="s">
        <v>431</v>
      </c>
      <c r="G46" s="10" t="s">
        <v>432</v>
      </c>
      <c r="H46" s="10" t="s">
        <v>433</v>
      </c>
      <c r="I46" s="10" t="s">
        <v>434</v>
      </c>
      <c r="J46" s="10" t="s">
        <v>435</v>
      </c>
      <c r="K46" s="10" t="s">
        <v>62</v>
      </c>
      <c r="L46" s="11" t="s">
        <v>436</v>
      </c>
      <c r="M46" s="10" t="s">
        <v>64</v>
      </c>
      <c r="N46" s="10"/>
      <c r="O46" s="10" t="s">
        <v>361</v>
      </c>
      <c r="P46" s="10" t="s">
        <v>66</v>
      </c>
      <c r="Q46" s="12" t="s">
        <v>437</v>
      </c>
      <c r="R46" s="10" t="s">
        <v>438</v>
      </c>
      <c r="S46" s="10" t="s">
        <v>69</v>
      </c>
      <c r="T46" s="13" t="s">
        <v>70</v>
      </c>
      <c r="U46" s="13"/>
      <c r="V46" s="14"/>
    </row>
    <row r="47" customFormat="false" ht="35.05" hidden="false" customHeight="false" outlineLevel="0" collapsed="false">
      <c r="A47" s="10" t="s">
        <v>439</v>
      </c>
      <c r="B47" s="10" t="s">
        <v>54</v>
      </c>
      <c r="C47" s="10" t="s">
        <v>420</v>
      </c>
      <c r="D47" s="10" t="s">
        <v>56</v>
      </c>
      <c r="E47" s="10" t="n">
        <v>3</v>
      </c>
      <c r="F47" s="11" t="s">
        <v>440</v>
      </c>
      <c r="G47" s="10" t="s">
        <v>441</v>
      </c>
      <c r="H47" s="10" t="s">
        <v>442</v>
      </c>
      <c r="I47" s="10" t="s">
        <v>443</v>
      </c>
      <c r="J47" s="10" t="s">
        <v>444</v>
      </c>
      <c r="K47" s="10" t="s">
        <v>62</v>
      </c>
      <c r="L47" s="11" t="s">
        <v>445</v>
      </c>
      <c r="M47" s="10" t="s">
        <v>64</v>
      </c>
      <c r="N47" s="10"/>
      <c r="O47" s="10" t="s">
        <v>320</v>
      </c>
      <c r="P47" s="10" t="s">
        <v>66</v>
      </c>
      <c r="Q47" s="12" t="s">
        <v>446</v>
      </c>
      <c r="R47" s="10" t="s">
        <v>447</v>
      </c>
      <c r="S47" s="10" t="s">
        <v>69</v>
      </c>
      <c r="T47" s="13" t="s">
        <v>70</v>
      </c>
      <c r="U47" s="13"/>
      <c r="V47" s="14"/>
    </row>
    <row r="48" customFormat="false" ht="35.05" hidden="false" customHeight="false" outlineLevel="0" collapsed="false">
      <c r="A48" s="10" t="s">
        <v>448</v>
      </c>
      <c r="B48" s="10" t="s">
        <v>54</v>
      </c>
      <c r="C48" s="10" t="s">
        <v>313</v>
      </c>
      <c r="D48" s="10" t="s">
        <v>56</v>
      </c>
      <c r="E48" s="10" t="n">
        <v>3</v>
      </c>
      <c r="F48" s="11" t="s">
        <v>449</v>
      </c>
      <c r="G48" s="10" t="s">
        <v>392</v>
      </c>
      <c r="H48" s="10" t="s">
        <v>450</v>
      </c>
      <c r="I48" s="10" t="s">
        <v>451</v>
      </c>
      <c r="J48" s="10" t="s">
        <v>452</v>
      </c>
      <c r="K48" s="10" t="s">
        <v>62</v>
      </c>
      <c r="L48" s="11" t="s">
        <v>453</v>
      </c>
      <c r="M48" s="10" t="s">
        <v>64</v>
      </c>
      <c r="N48" s="10"/>
      <c r="O48" s="10" t="s">
        <v>331</v>
      </c>
      <c r="P48" s="10" t="s">
        <v>66</v>
      </c>
      <c r="Q48" s="12" t="s">
        <v>454</v>
      </c>
      <c r="R48" s="10" t="s">
        <v>455</v>
      </c>
      <c r="S48" s="10" t="s">
        <v>69</v>
      </c>
      <c r="T48" s="13" t="s">
        <v>70</v>
      </c>
      <c r="U48" s="13"/>
      <c r="V48" s="14" t="s">
        <v>456</v>
      </c>
    </row>
    <row r="49" customFormat="false" ht="23.85" hidden="false" customHeight="false" outlineLevel="0" collapsed="false">
      <c r="A49" s="10" t="s">
        <v>457</v>
      </c>
      <c r="B49" s="10" t="s">
        <v>54</v>
      </c>
      <c r="C49" s="10" t="s">
        <v>313</v>
      </c>
      <c r="D49" s="10" t="s">
        <v>56</v>
      </c>
      <c r="E49" s="10" t="n">
        <v>3</v>
      </c>
      <c r="F49" s="11" t="s">
        <v>458</v>
      </c>
      <c r="G49" s="10" t="s">
        <v>459</v>
      </c>
      <c r="H49" s="10" t="s">
        <v>460</v>
      </c>
      <c r="I49" s="10" t="s">
        <v>461</v>
      </c>
      <c r="J49" s="10" t="s">
        <v>462</v>
      </c>
      <c r="K49" s="10" t="s">
        <v>62</v>
      </c>
      <c r="L49" s="11" t="s">
        <v>463</v>
      </c>
      <c r="M49" s="10" t="s">
        <v>64</v>
      </c>
      <c r="N49" s="10"/>
      <c r="O49" s="10" t="s">
        <v>361</v>
      </c>
      <c r="P49" s="10" t="s">
        <v>66</v>
      </c>
      <c r="Q49" s="12" t="s">
        <v>464</v>
      </c>
      <c r="R49" s="10" t="s">
        <v>465</v>
      </c>
      <c r="S49" s="10" t="s">
        <v>69</v>
      </c>
      <c r="T49" s="13" t="s">
        <v>70</v>
      </c>
      <c r="U49" s="13"/>
      <c r="V49" s="14"/>
    </row>
    <row r="50" customFormat="false" ht="23.85" hidden="false" customHeight="false" outlineLevel="0" collapsed="false">
      <c r="A50" s="10" t="s">
        <v>466</v>
      </c>
      <c r="B50" s="10" t="s">
        <v>54</v>
      </c>
      <c r="C50" s="10" t="s">
        <v>324</v>
      </c>
      <c r="D50" s="10" t="s">
        <v>56</v>
      </c>
      <c r="E50" s="10" t="n">
        <v>3</v>
      </c>
      <c r="F50" s="11" t="s">
        <v>467</v>
      </c>
      <c r="G50" s="10" t="s">
        <v>468</v>
      </c>
      <c r="H50" s="10" t="s">
        <v>469</v>
      </c>
      <c r="I50" s="10" t="s">
        <v>470</v>
      </c>
      <c r="J50" s="10" t="s">
        <v>471</v>
      </c>
      <c r="K50" s="10" t="s">
        <v>62</v>
      </c>
      <c r="L50" s="11" t="s">
        <v>472</v>
      </c>
      <c r="M50" s="10" t="s">
        <v>64</v>
      </c>
      <c r="N50" s="10"/>
      <c r="O50" s="10" t="s">
        <v>331</v>
      </c>
      <c r="P50" s="10" t="s">
        <v>66</v>
      </c>
      <c r="Q50" s="12" t="s">
        <v>473</v>
      </c>
      <c r="R50" s="10" t="s">
        <v>474</v>
      </c>
      <c r="S50" s="10" t="s">
        <v>69</v>
      </c>
      <c r="T50" s="13" t="s">
        <v>70</v>
      </c>
      <c r="U50" s="13"/>
      <c r="V50" s="14"/>
    </row>
    <row r="51" customFormat="false" ht="23.85" hidden="false" customHeight="false" outlineLevel="0" collapsed="false">
      <c r="A51" s="10" t="s">
        <v>475</v>
      </c>
      <c r="B51" s="10" t="s">
        <v>54</v>
      </c>
      <c r="C51" s="10" t="s">
        <v>324</v>
      </c>
      <c r="D51" s="10" t="s">
        <v>56</v>
      </c>
      <c r="E51" s="10" t="n">
        <v>3</v>
      </c>
      <c r="F51" s="11" t="s">
        <v>476</v>
      </c>
      <c r="G51" s="10" t="s">
        <v>477</v>
      </c>
      <c r="H51" s="10" t="s">
        <v>478</v>
      </c>
      <c r="I51" s="10" t="s">
        <v>479</v>
      </c>
      <c r="J51" s="10" t="s">
        <v>480</v>
      </c>
      <c r="K51" s="10" t="s">
        <v>62</v>
      </c>
      <c r="L51" s="11" t="s">
        <v>481</v>
      </c>
      <c r="M51" s="10" t="s">
        <v>64</v>
      </c>
      <c r="N51" s="10"/>
      <c r="O51" s="10" t="s">
        <v>331</v>
      </c>
      <c r="P51" s="10" t="s">
        <v>66</v>
      </c>
      <c r="Q51" s="12" t="s">
        <v>482</v>
      </c>
      <c r="R51" s="10" t="s">
        <v>483</v>
      </c>
      <c r="S51" s="10" t="s">
        <v>69</v>
      </c>
      <c r="T51" s="13" t="s">
        <v>70</v>
      </c>
      <c r="U51" s="13"/>
      <c r="V51" s="14"/>
    </row>
    <row r="52" customFormat="false" ht="35.05" hidden="false" customHeight="false" outlineLevel="0" collapsed="false">
      <c r="A52" s="10" t="s">
        <v>484</v>
      </c>
      <c r="B52" s="10" t="s">
        <v>54</v>
      </c>
      <c r="C52" s="10" t="s">
        <v>485</v>
      </c>
      <c r="D52" s="10" t="s">
        <v>56</v>
      </c>
      <c r="E52" s="10" t="n">
        <v>3</v>
      </c>
      <c r="F52" s="11" t="s">
        <v>486</v>
      </c>
      <c r="G52" s="10" t="s">
        <v>487</v>
      </c>
      <c r="H52" s="10" t="s">
        <v>488</v>
      </c>
      <c r="I52" s="10" t="s">
        <v>489</v>
      </c>
      <c r="J52" s="10" t="s">
        <v>490</v>
      </c>
      <c r="K52" s="10" t="s">
        <v>62</v>
      </c>
      <c r="L52" s="11" t="s">
        <v>491</v>
      </c>
      <c r="M52" s="10" t="s">
        <v>64</v>
      </c>
      <c r="N52" s="10"/>
      <c r="O52" s="10" t="s">
        <v>65</v>
      </c>
      <c r="P52" s="10" t="s">
        <v>66</v>
      </c>
      <c r="Q52" s="12" t="s">
        <v>492</v>
      </c>
      <c r="R52" s="10" t="s">
        <v>493</v>
      </c>
      <c r="S52" s="10" t="s">
        <v>69</v>
      </c>
      <c r="T52" s="13" t="s">
        <v>70</v>
      </c>
      <c r="U52" s="13"/>
      <c r="V52" s="14" t="s">
        <v>494</v>
      </c>
    </row>
    <row r="53" customFormat="false" ht="23.85" hidden="false" customHeight="false" outlineLevel="0" collapsed="false">
      <c r="A53" s="10" t="s">
        <v>495</v>
      </c>
      <c r="B53" s="10" t="s">
        <v>54</v>
      </c>
      <c r="C53" s="10" t="s">
        <v>485</v>
      </c>
      <c r="D53" s="10" t="s">
        <v>56</v>
      </c>
      <c r="E53" s="10" t="n">
        <v>3</v>
      </c>
      <c r="F53" s="11" t="s">
        <v>496</v>
      </c>
      <c r="G53" s="10" t="s">
        <v>497</v>
      </c>
      <c r="H53" s="10" t="s">
        <v>498</v>
      </c>
      <c r="I53" s="10" t="s">
        <v>499</v>
      </c>
      <c r="J53" s="10" t="s">
        <v>500</v>
      </c>
      <c r="K53" s="10" t="s">
        <v>62</v>
      </c>
      <c r="L53" s="11" t="s">
        <v>501</v>
      </c>
      <c r="M53" s="10" t="s">
        <v>64</v>
      </c>
      <c r="N53" s="10"/>
      <c r="O53" s="10" t="s">
        <v>361</v>
      </c>
      <c r="P53" s="10" t="s">
        <v>66</v>
      </c>
      <c r="Q53" s="12" t="s">
        <v>502</v>
      </c>
      <c r="R53" s="10" t="s">
        <v>503</v>
      </c>
      <c r="S53" s="10" t="s">
        <v>69</v>
      </c>
      <c r="T53" s="13" t="s">
        <v>70</v>
      </c>
      <c r="U53" s="13"/>
      <c r="V53" s="14"/>
    </row>
    <row r="54" customFormat="false" ht="35.05" hidden="false" customHeight="false" outlineLevel="0" collapsed="false">
      <c r="A54" s="10" t="s">
        <v>504</v>
      </c>
      <c r="B54" s="10" t="s">
        <v>54</v>
      </c>
      <c r="C54" s="10" t="s">
        <v>354</v>
      </c>
      <c r="D54" s="10" t="s">
        <v>213</v>
      </c>
      <c r="E54" s="10" t="n">
        <v>3</v>
      </c>
      <c r="F54" s="11" t="s">
        <v>505</v>
      </c>
      <c r="G54" s="10"/>
      <c r="H54" s="10"/>
      <c r="I54" s="10"/>
      <c r="J54" s="10"/>
      <c r="K54" s="10" t="s">
        <v>506</v>
      </c>
      <c r="L54" s="11" t="s">
        <v>507</v>
      </c>
      <c r="M54" s="10" t="s">
        <v>64</v>
      </c>
      <c r="N54" s="10"/>
      <c r="O54" s="10" t="s">
        <v>320</v>
      </c>
      <c r="P54" s="10" t="s">
        <v>66</v>
      </c>
      <c r="Q54" s="12" t="s">
        <v>508</v>
      </c>
      <c r="R54" s="10" t="s">
        <v>509</v>
      </c>
      <c r="S54" s="10" t="s">
        <v>69</v>
      </c>
      <c r="T54" s="13" t="s">
        <v>70</v>
      </c>
      <c r="U54" s="13"/>
      <c r="V54" s="14" t="s">
        <v>510</v>
      </c>
    </row>
    <row r="55" customFormat="false" ht="23.85" hidden="false" customHeight="false" outlineLevel="0" collapsed="false">
      <c r="A55" s="10" t="s">
        <v>511</v>
      </c>
      <c r="B55" s="10" t="s">
        <v>54</v>
      </c>
      <c r="C55" s="10" t="s">
        <v>420</v>
      </c>
      <c r="D55" s="10" t="s">
        <v>56</v>
      </c>
      <c r="E55" s="10" t="n">
        <v>4</v>
      </c>
      <c r="F55" s="11" t="s">
        <v>512</v>
      </c>
      <c r="G55" s="10" t="s">
        <v>513</v>
      </c>
      <c r="H55" s="10" t="s">
        <v>514</v>
      </c>
      <c r="I55" s="10" t="s">
        <v>515</v>
      </c>
      <c r="J55" s="10" t="s">
        <v>516</v>
      </c>
      <c r="K55" s="10" t="s">
        <v>62</v>
      </c>
      <c r="L55" s="11" t="s">
        <v>517</v>
      </c>
      <c r="M55" s="10" t="s">
        <v>64</v>
      </c>
      <c r="N55" s="10"/>
      <c r="O55" s="10" t="s">
        <v>65</v>
      </c>
      <c r="P55" s="10" t="s">
        <v>66</v>
      </c>
      <c r="Q55" s="12" t="s">
        <v>518</v>
      </c>
      <c r="R55" s="10" t="s">
        <v>519</v>
      </c>
      <c r="S55" s="10" t="s">
        <v>69</v>
      </c>
      <c r="T55" s="13" t="s">
        <v>70</v>
      </c>
      <c r="U55" s="13"/>
      <c r="V55" s="14"/>
    </row>
    <row r="56" customFormat="false" ht="35.05" hidden="false" customHeight="false" outlineLevel="0" collapsed="false">
      <c r="A56" s="10" t="s">
        <v>520</v>
      </c>
      <c r="B56" s="10" t="s">
        <v>54</v>
      </c>
      <c r="C56" s="10" t="s">
        <v>313</v>
      </c>
      <c r="D56" s="10" t="s">
        <v>56</v>
      </c>
      <c r="E56" s="10" t="n">
        <v>4</v>
      </c>
      <c r="F56" s="11" t="s">
        <v>521</v>
      </c>
      <c r="G56" s="10" t="s">
        <v>522</v>
      </c>
      <c r="H56" s="10" t="s">
        <v>523</v>
      </c>
      <c r="I56" s="10" t="s">
        <v>524</v>
      </c>
      <c r="J56" s="10" t="s">
        <v>525</v>
      </c>
      <c r="K56" s="10" t="s">
        <v>62</v>
      </c>
      <c r="L56" s="11" t="s">
        <v>526</v>
      </c>
      <c r="M56" s="10" t="s">
        <v>64</v>
      </c>
      <c r="N56" s="10"/>
      <c r="O56" s="10" t="s">
        <v>65</v>
      </c>
      <c r="P56" s="10" t="s">
        <v>66</v>
      </c>
      <c r="Q56" s="12" t="s">
        <v>527</v>
      </c>
      <c r="R56" s="10" t="s">
        <v>528</v>
      </c>
      <c r="S56" s="10" t="s">
        <v>69</v>
      </c>
      <c r="T56" s="13" t="s">
        <v>70</v>
      </c>
      <c r="U56" s="13"/>
      <c r="V56" s="14"/>
    </row>
    <row r="57" customFormat="false" ht="46.25" hidden="false" customHeight="false" outlineLevel="0" collapsed="false">
      <c r="A57" s="10" t="s">
        <v>529</v>
      </c>
      <c r="B57" s="10" t="s">
        <v>54</v>
      </c>
      <c r="C57" s="10" t="s">
        <v>530</v>
      </c>
      <c r="D57" s="10" t="s">
        <v>56</v>
      </c>
      <c r="E57" s="10" t="n">
        <v>4</v>
      </c>
      <c r="F57" s="11" t="s">
        <v>531</v>
      </c>
      <c r="G57" s="10" t="s">
        <v>532</v>
      </c>
      <c r="H57" s="10" t="s">
        <v>533</v>
      </c>
      <c r="I57" s="10" t="s">
        <v>534</v>
      </c>
      <c r="J57" s="10" t="s">
        <v>535</v>
      </c>
      <c r="K57" s="10" t="s">
        <v>62</v>
      </c>
      <c r="L57" s="11" t="s">
        <v>536</v>
      </c>
      <c r="M57" s="10" t="s">
        <v>64</v>
      </c>
      <c r="N57" s="10"/>
      <c r="O57" s="10" t="s">
        <v>320</v>
      </c>
      <c r="P57" s="10" t="s">
        <v>66</v>
      </c>
      <c r="Q57" s="12" t="s">
        <v>537</v>
      </c>
      <c r="R57" s="10" t="s">
        <v>538</v>
      </c>
      <c r="S57" s="10" t="s">
        <v>69</v>
      </c>
      <c r="T57" s="13" t="s">
        <v>70</v>
      </c>
      <c r="U57" s="13"/>
      <c r="V57" s="14" t="s">
        <v>539</v>
      </c>
    </row>
    <row r="58" customFormat="false" ht="35.05" hidden="false" customHeight="false" outlineLevel="0" collapsed="false">
      <c r="A58" s="10" t="s">
        <v>540</v>
      </c>
      <c r="B58" s="10" t="s">
        <v>54</v>
      </c>
      <c r="C58" s="10" t="s">
        <v>530</v>
      </c>
      <c r="D58" s="10" t="s">
        <v>56</v>
      </c>
      <c r="E58" s="10" t="n">
        <v>4</v>
      </c>
      <c r="F58" s="11" t="s">
        <v>541</v>
      </c>
      <c r="G58" s="10" t="s">
        <v>542</v>
      </c>
      <c r="H58" s="10" t="s">
        <v>543</v>
      </c>
      <c r="I58" s="10" t="s">
        <v>544</v>
      </c>
      <c r="J58" s="10" t="s">
        <v>545</v>
      </c>
      <c r="K58" s="10" t="s">
        <v>62</v>
      </c>
      <c r="L58" s="11" t="s">
        <v>546</v>
      </c>
      <c r="M58" s="10" t="s">
        <v>64</v>
      </c>
      <c r="N58" s="10"/>
      <c r="O58" s="10" t="s">
        <v>320</v>
      </c>
      <c r="P58" s="10" t="s">
        <v>66</v>
      </c>
      <c r="Q58" s="12" t="s">
        <v>547</v>
      </c>
      <c r="R58" s="10" t="s">
        <v>548</v>
      </c>
      <c r="S58" s="10" t="s">
        <v>69</v>
      </c>
      <c r="T58" s="13" t="s">
        <v>70</v>
      </c>
      <c r="U58" s="13"/>
      <c r="V58" s="14"/>
    </row>
    <row r="59" customFormat="false" ht="35.05" hidden="false" customHeight="false" outlineLevel="0" collapsed="false">
      <c r="A59" s="10" t="s">
        <v>549</v>
      </c>
      <c r="B59" s="10" t="s">
        <v>54</v>
      </c>
      <c r="C59" s="10" t="s">
        <v>485</v>
      </c>
      <c r="D59" s="10" t="s">
        <v>56</v>
      </c>
      <c r="E59" s="10" t="n">
        <v>4</v>
      </c>
      <c r="F59" s="11" t="s">
        <v>550</v>
      </c>
      <c r="G59" s="10" t="s">
        <v>551</v>
      </c>
      <c r="H59" s="10" t="s">
        <v>552</v>
      </c>
      <c r="I59" s="10" t="s">
        <v>553</v>
      </c>
      <c r="J59" s="10" t="s">
        <v>554</v>
      </c>
      <c r="K59" s="10" t="s">
        <v>62</v>
      </c>
      <c r="L59" s="11" t="s">
        <v>555</v>
      </c>
      <c r="M59" s="10" t="s">
        <v>64</v>
      </c>
      <c r="N59" s="10"/>
      <c r="O59" s="10" t="s">
        <v>320</v>
      </c>
      <c r="P59" s="10" t="s">
        <v>66</v>
      </c>
      <c r="Q59" s="12" t="s">
        <v>556</v>
      </c>
      <c r="R59" s="10" t="s">
        <v>557</v>
      </c>
      <c r="S59" s="10" t="s">
        <v>69</v>
      </c>
      <c r="T59" s="13" t="s">
        <v>70</v>
      </c>
      <c r="U59" s="13"/>
      <c r="V59" s="14"/>
    </row>
    <row r="60" customFormat="false" ht="23.85" hidden="false" customHeight="false" outlineLevel="0" collapsed="false">
      <c r="A60" s="10" t="s">
        <v>558</v>
      </c>
      <c r="B60" s="10" t="s">
        <v>54</v>
      </c>
      <c r="C60" s="10" t="s">
        <v>324</v>
      </c>
      <c r="D60" s="10" t="s">
        <v>56</v>
      </c>
      <c r="E60" s="10" t="n">
        <v>4</v>
      </c>
      <c r="F60" s="11" t="s">
        <v>559</v>
      </c>
      <c r="G60" s="10" t="s">
        <v>478</v>
      </c>
      <c r="H60" s="10" t="s">
        <v>477</v>
      </c>
      <c r="I60" s="10" t="s">
        <v>479</v>
      </c>
      <c r="J60" s="10" t="s">
        <v>560</v>
      </c>
      <c r="K60" s="10" t="s">
        <v>62</v>
      </c>
      <c r="L60" s="11" t="s">
        <v>561</v>
      </c>
      <c r="M60" s="10" t="s">
        <v>64</v>
      </c>
      <c r="N60" s="10"/>
      <c r="O60" s="10" t="s">
        <v>427</v>
      </c>
      <c r="P60" s="10" t="s">
        <v>66</v>
      </c>
      <c r="Q60" s="12" t="s">
        <v>562</v>
      </c>
      <c r="R60" s="10" t="s">
        <v>563</v>
      </c>
      <c r="S60" s="10" t="s">
        <v>69</v>
      </c>
      <c r="T60" s="13" t="s">
        <v>70</v>
      </c>
      <c r="U60" s="13"/>
      <c r="V60" s="14"/>
    </row>
    <row r="61" customFormat="false" ht="35.05" hidden="false" customHeight="false" outlineLevel="0" collapsed="false">
      <c r="A61" s="10" t="s">
        <v>564</v>
      </c>
      <c r="B61" s="10" t="s">
        <v>54</v>
      </c>
      <c r="C61" s="10" t="s">
        <v>420</v>
      </c>
      <c r="D61" s="10" t="s">
        <v>56</v>
      </c>
      <c r="E61" s="10" t="n">
        <v>5</v>
      </c>
      <c r="F61" s="11" t="s">
        <v>565</v>
      </c>
      <c r="G61" s="10" t="s">
        <v>566</v>
      </c>
      <c r="H61" s="10" t="s">
        <v>567</v>
      </c>
      <c r="I61" s="10" t="s">
        <v>568</v>
      </c>
      <c r="J61" s="10" t="s">
        <v>569</v>
      </c>
      <c r="K61" s="10" t="s">
        <v>62</v>
      </c>
      <c r="L61" s="11" t="s">
        <v>570</v>
      </c>
      <c r="M61" s="10" t="s">
        <v>64</v>
      </c>
      <c r="N61" s="10"/>
      <c r="O61" s="10" t="s">
        <v>361</v>
      </c>
      <c r="P61" s="10" t="s">
        <v>66</v>
      </c>
      <c r="Q61" s="12" t="s">
        <v>571</v>
      </c>
      <c r="R61" s="10" t="s">
        <v>572</v>
      </c>
      <c r="S61" s="10" t="s">
        <v>69</v>
      </c>
      <c r="T61" s="13" t="s">
        <v>70</v>
      </c>
      <c r="U61" s="13"/>
      <c r="V61" s="14"/>
    </row>
    <row r="62" customFormat="false" ht="23.85" hidden="false" customHeight="false" outlineLevel="0" collapsed="false">
      <c r="A62" s="10" t="s">
        <v>573</v>
      </c>
      <c r="B62" s="10" t="s">
        <v>54</v>
      </c>
      <c r="C62" s="10" t="s">
        <v>313</v>
      </c>
      <c r="D62" s="10" t="s">
        <v>213</v>
      </c>
      <c r="E62" s="10" t="n">
        <v>5</v>
      </c>
      <c r="F62" s="11" t="s">
        <v>574</v>
      </c>
      <c r="G62" s="10"/>
      <c r="H62" s="10"/>
      <c r="I62" s="10"/>
      <c r="J62" s="10"/>
      <c r="K62" s="10" t="s">
        <v>575</v>
      </c>
      <c r="L62" s="11" t="s">
        <v>576</v>
      </c>
      <c r="M62" s="10" t="s">
        <v>64</v>
      </c>
      <c r="N62" s="10" t="s">
        <v>217</v>
      </c>
      <c r="O62" s="10" t="s">
        <v>65</v>
      </c>
      <c r="P62" s="10" t="s">
        <v>66</v>
      </c>
      <c r="Q62" s="12" t="s">
        <v>577</v>
      </c>
      <c r="R62" s="10" t="s">
        <v>578</v>
      </c>
      <c r="S62" s="10" t="s">
        <v>69</v>
      </c>
      <c r="T62" s="13" t="s">
        <v>70</v>
      </c>
      <c r="U62" s="13"/>
      <c r="V62" s="14"/>
    </row>
    <row r="63" customFormat="false" ht="23.85" hidden="false" customHeight="false" outlineLevel="0" collapsed="false">
      <c r="A63" s="10" t="s">
        <v>579</v>
      </c>
      <c r="B63" s="10" t="s">
        <v>54</v>
      </c>
      <c r="C63" s="10" t="s">
        <v>313</v>
      </c>
      <c r="D63" s="10" t="s">
        <v>213</v>
      </c>
      <c r="E63" s="10" t="n">
        <v>5</v>
      </c>
      <c r="F63" s="11" t="s">
        <v>580</v>
      </c>
      <c r="G63" s="10"/>
      <c r="H63" s="10"/>
      <c r="I63" s="10"/>
      <c r="J63" s="10"/>
      <c r="K63" s="10" t="s">
        <v>581</v>
      </c>
      <c r="L63" s="11" t="s">
        <v>582</v>
      </c>
      <c r="M63" s="10" t="s">
        <v>64</v>
      </c>
      <c r="N63" s="10"/>
      <c r="O63" s="10" t="s">
        <v>65</v>
      </c>
      <c r="P63" s="10" t="s">
        <v>66</v>
      </c>
      <c r="Q63" s="12" t="s">
        <v>583</v>
      </c>
      <c r="R63" s="10" t="s">
        <v>584</v>
      </c>
      <c r="S63" s="10" t="s">
        <v>69</v>
      </c>
      <c r="T63" s="13" t="s">
        <v>70</v>
      </c>
      <c r="U63" s="13"/>
      <c r="V63" s="14"/>
    </row>
    <row r="64" customFormat="false" ht="23.85" hidden="false" customHeight="false" outlineLevel="0" collapsed="false">
      <c r="A64" s="10" t="s">
        <v>585</v>
      </c>
      <c r="B64" s="10" t="s">
        <v>54</v>
      </c>
      <c r="C64" s="10" t="s">
        <v>400</v>
      </c>
      <c r="D64" s="10" t="s">
        <v>56</v>
      </c>
      <c r="E64" s="10" t="n">
        <v>5</v>
      </c>
      <c r="F64" s="11" t="s">
        <v>586</v>
      </c>
      <c r="G64" s="10" t="s">
        <v>587</v>
      </c>
      <c r="H64" s="10" t="s">
        <v>588</v>
      </c>
      <c r="I64" s="10" t="s">
        <v>589</v>
      </c>
      <c r="J64" s="10" t="s">
        <v>590</v>
      </c>
      <c r="K64" s="10" t="s">
        <v>62</v>
      </c>
      <c r="L64" s="11" t="s">
        <v>591</v>
      </c>
      <c r="M64" s="10" t="s">
        <v>64</v>
      </c>
      <c r="N64" s="10"/>
      <c r="O64" s="10" t="s">
        <v>320</v>
      </c>
      <c r="P64" s="10" t="s">
        <v>66</v>
      </c>
      <c r="Q64" s="12" t="s">
        <v>592</v>
      </c>
      <c r="R64" s="10" t="s">
        <v>593</v>
      </c>
      <c r="S64" s="10" t="s">
        <v>69</v>
      </c>
      <c r="T64" s="13" t="s">
        <v>70</v>
      </c>
      <c r="U64" s="13"/>
      <c r="V64" s="14"/>
    </row>
    <row r="65" customFormat="false" ht="46.25" hidden="false" customHeight="false" outlineLevel="0" collapsed="false">
      <c r="A65" s="10" t="s">
        <v>594</v>
      </c>
      <c r="B65" s="10" t="s">
        <v>54</v>
      </c>
      <c r="C65" s="10" t="s">
        <v>400</v>
      </c>
      <c r="D65" s="10" t="s">
        <v>56</v>
      </c>
      <c r="E65" s="10" t="n">
        <v>5</v>
      </c>
      <c r="F65" s="11" t="s">
        <v>595</v>
      </c>
      <c r="G65" s="10" t="s">
        <v>596</v>
      </c>
      <c r="H65" s="10" t="s">
        <v>597</v>
      </c>
      <c r="I65" s="10" t="s">
        <v>598</v>
      </c>
      <c r="J65" s="10" t="s">
        <v>488</v>
      </c>
      <c r="K65" s="10" t="s">
        <v>62</v>
      </c>
      <c r="L65" s="11" t="s">
        <v>599</v>
      </c>
      <c r="M65" s="10" t="s">
        <v>64</v>
      </c>
      <c r="N65" s="10"/>
      <c r="O65" s="10" t="s">
        <v>320</v>
      </c>
      <c r="P65" s="10" t="s">
        <v>66</v>
      </c>
      <c r="Q65" s="12" t="s">
        <v>600</v>
      </c>
      <c r="R65" s="10" t="s">
        <v>601</v>
      </c>
      <c r="S65" s="10" t="s">
        <v>69</v>
      </c>
      <c r="T65" s="13" t="s">
        <v>70</v>
      </c>
      <c r="U65" s="13"/>
      <c r="V65" s="14" t="s">
        <v>602</v>
      </c>
    </row>
    <row r="66" customFormat="false" ht="23.85" hidden="false" customHeight="false" outlineLevel="0" collapsed="false">
      <c r="A66" s="10" t="s">
        <v>603</v>
      </c>
      <c r="B66" s="10" t="s">
        <v>54</v>
      </c>
      <c r="C66" s="10" t="s">
        <v>604</v>
      </c>
      <c r="D66" s="10" t="s">
        <v>56</v>
      </c>
      <c r="E66" s="10" t="n">
        <v>1</v>
      </c>
      <c r="F66" s="11" t="s">
        <v>605</v>
      </c>
      <c r="G66" s="10" t="s">
        <v>606</v>
      </c>
      <c r="H66" s="10" t="s">
        <v>425</v>
      </c>
      <c r="I66" s="10" t="s">
        <v>607</v>
      </c>
      <c r="J66" s="10" t="s">
        <v>608</v>
      </c>
      <c r="K66" s="10" t="s">
        <v>62</v>
      </c>
      <c r="L66" s="11" t="s">
        <v>609</v>
      </c>
      <c r="M66" s="10" t="s">
        <v>64</v>
      </c>
      <c r="N66" s="10"/>
      <c r="O66" s="10" t="s">
        <v>427</v>
      </c>
      <c r="P66" s="10" t="s">
        <v>66</v>
      </c>
      <c r="Q66" s="12" t="s">
        <v>610</v>
      </c>
      <c r="R66" s="10" t="s">
        <v>611</v>
      </c>
      <c r="S66" s="10" t="s">
        <v>69</v>
      </c>
      <c r="T66" s="13" t="s">
        <v>70</v>
      </c>
      <c r="U66" s="13"/>
      <c r="V66" s="14"/>
    </row>
    <row r="67" customFormat="false" ht="23.85" hidden="false" customHeight="false" outlineLevel="0" collapsed="false">
      <c r="A67" s="10" t="s">
        <v>612</v>
      </c>
      <c r="B67" s="10" t="s">
        <v>54</v>
      </c>
      <c r="C67" s="10" t="s">
        <v>604</v>
      </c>
      <c r="D67" s="10" t="s">
        <v>56</v>
      </c>
      <c r="E67" s="10" t="n">
        <v>1</v>
      </c>
      <c r="F67" s="11" t="s">
        <v>613</v>
      </c>
      <c r="G67" s="10" t="s">
        <v>614</v>
      </c>
      <c r="H67" s="10" t="s">
        <v>615</v>
      </c>
      <c r="I67" s="10" t="s">
        <v>616</v>
      </c>
      <c r="J67" s="10" t="s">
        <v>617</v>
      </c>
      <c r="K67" s="10" t="s">
        <v>62</v>
      </c>
      <c r="L67" s="11" t="s">
        <v>618</v>
      </c>
      <c r="M67" s="10" t="s">
        <v>64</v>
      </c>
      <c r="N67" s="10"/>
      <c r="O67" s="10" t="s">
        <v>427</v>
      </c>
      <c r="P67" s="10" t="s">
        <v>66</v>
      </c>
      <c r="Q67" s="12" t="s">
        <v>619</v>
      </c>
      <c r="R67" s="10" t="s">
        <v>620</v>
      </c>
      <c r="S67" s="10" t="s">
        <v>69</v>
      </c>
      <c r="T67" s="13" t="s">
        <v>70</v>
      </c>
      <c r="U67" s="13"/>
      <c r="V67" s="14"/>
    </row>
    <row r="68" customFormat="false" ht="23.85" hidden="false" customHeight="false" outlineLevel="0" collapsed="false">
      <c r="A68" s="10" t="s">
        <v>621</v>
      </c>
      <c r="B68" s="10" t="s">
        <v>54</v>
      </c>
      <c r="C68" s="10" t="s">
        <v>622</v>
      </c>
      <c r="D68" s="10" t="s">
        <v>56</v>
      </c>
      <c r="E68" s="10" t="n">
        <v>1</v>
      </c>
      <c r="F68" s="11" t="s">
        <v>623</v>
      </c>
      <c r="G68" s="10" t="s">
        <v>624</v>
      </c>
      <c r="H68" s="10" t="s">
        <v>625</v>
      </c>
      <c r="I68" s="10" t="s">
        <v>626</v>
      </c>
      <c r="J68" s="10" t="s">
        <v>627</v>
      </c>
      <c r="K68" s="10" t="s">
        <v>62</v>
      </c>
      <c r="L68" s="11" t="s">
        <v>628</v>
      </c>
      <c r="M68" s="10" t="s">
        <v>64</v>
      </c>
      <c r="N68" s="10"/>
      <c r="O68" s="10" t="s">
        <v>65</v>
      </c>
      <c r="P68" s="10" t="s">
        <v>66</v>
      </c>
      <c r="Q68" s="12" t="s">
        <v>629</v>
      </c>
      <c r="R68" s="10" t="s">
        <v>630</v>
      </c>
      <c r="S68" s="10" t="s">
        <v>69</v>
      </c>
      <c r="T68" s="13" t="s">
        <v>70</v>
      </c>
      <c r="U68" s="13"/>
      <c r="V68" s="14"/>
    </row>
    <row r="69" customFormat="false" ht="23.85" hidden="false" customHeight="false" outlineLevel="0" collapsed="false">
      <c r="A69" s="10" t="s">
        <v>631</v>
      </c>
      <c r="B69" s="10" t="s">
        <v>54</v>
      </c>
      <c r="C69" s="10" t="s">
        <v>622</v>
      </c>
      <c r="D69" s="10" t="s">
        <v>56</v>
      </c>
      <c r="E69" s="10" t="n">
        <v>1</v>
      </c>
      <c r="F69" s="11" t="s">
        <v>632</v>
      </c>
      <c r="G69" s="10" t="s">
        <v>633</v>
      </c>
      <c r="H69" s="10" t="s">
        <v>634</v>
      </c>
      <c r="I69" s="10" t="s">
        <v>635</v>
      </c>
      <c r="J69" s="10" t="s">
        <v>636</v>
      </c>
      <c r="K69" s="10" t="s">
        <v>62</v>
      </c>
      <c r="L69" s="11" t="s">
        <v>637</v>
      </c>
      <c r="M69" s="10" t="s">
        <v>64</v>
      </c>
      <c r="N69" s="10"/>
      <c r="O69" s="10" t="s">
        <v>65</v>
      </c>
      <c r="P69" s="10" t="s">
        <v>66</v>
      </c>
      <c r="Q69" s="12" t="s">
        <v>638</v>
      </c>
      <c r="R69" s="10" t="s">
        <v>639</v>
      </c>
      <c r="S69" s="10" t="s">
        <v>69</v>
      </c>
      <c r="T69" s="13" t="s">
        <v>70</v>
      </c>
      <c r="U69" s="13"/>
      <c r="V69" s="14"/>
    </row>
    <row r="70" customFormat="false" ht="23.85" hidden="false" customHeight="false" outlineLevel="0" collapsed="false">
      <c r="A70" s="10" t="s">
        <v>640</v>
      </c>
      <c r="B70" s="10" t="s">
        <v>54</v>
      </c>
      <c r="C70" s="10" t="s">
        <v>641</v>
      </c>
      <c r="D70" s="10" t="s">
        <v>56</v>
      </c>
      <c r="E70" s="10" t="n">
        <v>1</v>
      </c>
      <c r="F70" s="11" t="s">
        <v>642</v>
      </c>
      <c r="G70" s="10" t="s">
        <v>643</v>
      </c>
      <c r="H70" s="10" t="s">
        <v>644</v>
      </c>
      <c r="I70" s="10" t="s">
        <v>645</v>
      </c>
      <c r="J70" s="10" t="s">
        <v>646</v>
      </c>
      <c r="K70" s="10" t="s">
        <v>62</v>
      </c>
      <c r="L70" s="11" t="s">
        <v>647</v>
      </c>
      <c r="M70" s="10" t="s">
        <v>64</v>
      </c>
      <c r="N70" s="10"/>
      <c r="O70" s="10" t="s">
        <v>331</v>
      </c>
      <c r="P70" s="10" t="s">
        <v>66</v>
      </c>
      <c r="Q70" s="12" t="s">
        <v>648</v>
      </c>
      <c r="R70" s="10" t="s">
        <v>649</v>
      </c>
      <c r="S70" s="10" t="s">
        <v>69</v>
      </c>
      <c r="T70" s="13" t="s">
        <v>70</v>
      </c>
      <c r="U70" s="13"/>
      <c r="V70" s="14"/>
    </row>
    <row r="71" customFormat="false" ht="46.25" hidden="false" customHeight="false" outlineLevel="0" collapsed="false">
      <c r="A71" s="10" t="s">
        <v>650</v>
      </c>
      <c r="B71" s="10" t="s">
        <v>54</v>
      </c>
      <c r="C71" s="10" t="s">
        <v>604</v>
      </c>
      <c r="D71" s="10" t="s">
        <v>56</v>
      </c>
      <c r="E71" s="10" t="n">
        <v>2</v>
      </c>
      <c r="F71" s="11" t="s">
        <v>651</v>
      </c>
      <c r="G71" s="10" t="s">
        <v>645</v>
      </c>
      <c r="H71" s="10" t="s">
        <v>442</v>
      </c>
      <c r="I71" s="10" t="s">
        <v>652</v>
      </c>
      <c r="J71" s="10" t="s">
        <v>653</v>
      </c>
      <c r="K71" s="10" t="s">
        <v>62</v>
      </c>
      <c r="L71" s="11" t="s">
        <v>654</v>
      </c>
      <c r="M71" s="10" t="s">
        <v>64</v>
      </c>
      <c r="N71" s="10"/>
      <c r="O71" s="10" t="s">
        <v>320</v>
      </c>
      <c r="P71" s="10" t="s">
        <v>66</v>
      </c>
      <c r="Q71" s="12" t="s">
        <v>655</v>
      </c>
      <c r="R71" s="10" t="s">
        <v>656</v>
      </c>
      <c r="S71" s="10" t="s">
        <v>69</v>
      </c>
      <c r="T71" s="13" t="s">
        <v>70</v>
      </c>
      <c r="U71" s="13"/>
      <c r="V71" s="14" t="s">
        <v>657</v>
      </c>
    </row>
    <row r="72" customFormat="false" ht="23.85" hidden="false" customHeight="false" outlineLevel="0" collapsed="false">
      <c r="A72" s="10" t="s">
        <v>658</v>
      </c>
      <c r="B72" s="10" t="s">
        <v>54</v>
      </c>
      <c r="C72" s="10" t="s">
        <v>604</v>
      </c>
      <c r="D72" s="10" t="s">
        <v>56</v>
      </c>
      <c r="E72" s="10" t="n">
        <v>2</v>
      </c>
      <c r="F72" s="11" t="s">
        <v>659</v>
      </c>
      <c r="G72" s="10" t="s">
        <v>660</v>
      </c>
      <c r="H72" s="10" t="s">
        <v>661</v>
      </c>
      <c r="I72" s="10" t="s">
        <v>662</v>
      </c>
      <c r="J72" s="10" t="s">
        <v>663</v>
      </c>
      <c r="K72" s="10" t="s">
        <v>62</v>
      </c>
      <c r="L72" s="11" t="s">
        <v>664</v>
      </c>
      <c r="M72" s="10" t="s">
        <v>64</v>
      </c>
      <c r="N72" s="10"/>
      <c r="O72" s="10" t="s">
        <v>331</v>
      </c>
      <c r="P72" s="10" t="s">
        <v>66</v>
      </c>
      <c r="Q72" s="12" t="s">
        <v>665</v>
      </c>
      <c r="R72" s="10" t="s">
        <v>666</v>
      </c>
      <c r="S72" s="10" t="s">
        <v>69</v>
      </c>
      <c r="T72" s="13" t="s">
        <v>70</v>
      </c>
      <c r="U72" s="13"/>
      <c r="V72" s="14"/>
    </row>
    <row r="73" customFormat="false" ht="23.85" hidden="false" customHeight="false" outlineLevel="0" collapsed="false">
      <c r="A73" s="10" t="s">
        <v>667</v>
      </c>
      <c r="B73" s="10" t="s">
        <v>54</v>
      </c>
      <c r="C73" s="10" t="s">
        <v>641</v>
      </c>
      <c r="D73" s="10" t="s">
        <v>56</v>
      </c>
      <c r="E73" s="10" t="n">
        <v>2</v>
      </c>
      <c r="F73" s="11" t="s">
        <v>668</v>
      </c>
      <c r="G73" s="10" t="s">
        <v>646</v>
      </c>
      <c r="H73" s="10" t="s">
        <v>669</v>
      </c>
      <c r="I73" s="10" t="s">
        <v>670</v>
      </c>
      <c r="J73" s="10" t="s">
        <v>337</v>
      </c>
      <c r="K73" s="10" t="s">
        <v>62</v>
      </c>
      <c r="L73" s="11" t="s">
        <v>671</v>
      </c>
      <c r="M73" s="10" t="s">
        <v>64</v>
      </c>
      <c r="N73" s="10"/>
      <c r="O73" s="10" t="s">
        <v>331</v>
      </c>
      <c r="P73" s="10" t="s">
        <v>66</v>
      </c>
      <c r="Q73" s="12" t="s">
        <v>672</v>
      </c>
      <c r="R73" s="10" t="s">
        <v>673</v>
      </c>
      <c r="S73" s="10" t="s">
        <v>69</v>
      </c>
      <c r="T73" s="13" t="s">
        <v>70</v>
      </c>
      <c r="U73" s="13"/>
      <c r="V73" s="14" t="s">
        <v>674</v>
      </c>
    </row>
    <row r="74" customFormat="false" ht="23.85" hidden="false" customHeight="false" outlineLevel="0" collapsed="false">
      <c r="A74" s="10" t="s">
        <v>675</v>
      </c>
      <c r="B74" s="10" t="s">
        <v>54</v>
      </c>
      <c r="C74" s="10" t="s">
        <v>622</v>
      </c>
      <c r="D74" s="10" t="s">
        <v>56</v>
      </c>
      <c r="E74" s="10" t="n">
        <v>2</v>
      </c>
      <c r="F74" s="11" t="s">
        <v>676</v>
      </c>
      <c r="G74" s="10" t="s">
        <v>677</v>
      </c>
      <c r="H74" s="10" t="s">
        <v>678</v>
      </c>
      <c r="I74" s="10" t="s">
        <v>679</v>
      </c>
      <c r="J74" s="10" t="s">
        <v>513</v>
      </c>
      <c r="K74" s="10" t="s">
        <v>62</v>
      </c>
      <c r="L74" s="11" t="s">
        <v>680</v>
      </c>
      <c r="M74" s="10" t="s">
        <v>64</v>
      </c>
      <c r="N74" s="10"/>
      <c r="O74" s="10" t="s">
        <v>65</v>
      </c>
      <c r="P74" s="10" t="s">
        <v>66</v>
      </c>
      <c r="Q74" s="12" t="s">
        <v>681</v>
      </c>
      <c r="R74" s="10" t="s">
        <v>682</v>
      </c>
      <c r="S74" s="10" t="s">
        <v>69</v>
      </c>
      <c r="T74" s="13" t="s">
        <v>70</v>
      </c>
      <c r="U74" s="13"/>
      <c r="V74" s="14"/>
    </row>
    <row r="75" customFormat="false" ht="23.85" hidden="false" customHeight="false" outlineLevel="0" collapsed="false">
      <c r="A75" s="10" t="s">
        <v>683</v>
      </c>
      <c r="B75" s="10" t="s">
        <v>54</v>
      </c>
      <c r="C75" s="10" t="s">
        <v>622</v>
      </c>
      <c r="D75" s="10" t="s">
        <v>56</v>
      </c>
      <c r="E75" s="10" t="n">
        <v>2</v>
      </c>
      <c r="F75" s="11" t="s">
        <v>684</v>
      </c>
      <c r="G75" s="10" t="s">
        <v>627</v>
      </c>
      <c r="H75" s="10" t="s">
        <v>685</v>
      </c>
      <c r="I75" s="10" t="s">
        <v>686</v>
      </c>
      <c r="J75" s="10" t="s">
        <v>687</v>
      </c>
      <c r="K75" s="10" t="s">
        <v>62</v>
      </c>
      <c r="L75" s="11" t="s">
        <v>688</v>
      </c>
      <c r="M75" s="10" t="s">
        <v>64</v>
      </c>
      <c r="N75" s="10"/>
      <c r="O75" s="10" t="s">
        <v>65</v>
      </c>
      <c r="P75" s="10" t="s">
        <v>66</v>
      </c>
      <c r="Q75" s="12" t="s">
        <v>689</v>
      </c>
      <c r="R75" s="10" t="s">
        <v>690</v>
      </c>
      <c r="S75" s="10" t="s">
        <v>69</v>
      </c>
      <c r="T75" s="13" t="s">
        <v>70</v>
      </c>
      <c r="U75" s="13"/>
      <c r="V75" s="14"/>
    </row>
    <row r="76" customFormat="false" ht="23.85" hidden="false" customHeight="false" outlineLevel="0" collapsed="false">
      <c r="A76" s="10" t="s">
        <v>691</v>
      </c>
      <c r="B76" s="10" t="s">
        <v>54</v>
      </c>
      <c r="C76" s="10" t="s">
        <v>641</v>
      </c>
      <c r="D76" s="10" t="s">
        <v>56</v>
      </c>
      <c r="E76" s="10" t="n">
        <v>2</v>
      </c>
      <c r="F76" s="11" t="s">
        <v>692</v>
      </c>
      <c r="G76" s="10" t="s">
        <v>693</v>
      </c>
      <c r="H76" s="10" t="s">
        <v>694</v>
      </c>
      <c r="I76" s="10" t="s">
        <v>695</v>
      </c>
      <c r="J76" s="10" t="s">
        <v>696</v>
      </c>
      <c r="K76" s="10" t="s">
        <v>62</v>
      </c>
      <c r="L76" s="11" t="s">
        <v>697</v>
      </c>
      <c r="M76" s="10" t="s">
        <v>64</v>
      </c>
      <c r="N76" s="10"/>
      <c r="O76" s="10" t="s">
        <v>361</v>
      </c>
      <c r="P76" s="10" t="s">
        <v>66</v>
      </c>
      <c r="Q76" s="12" t="s">
        <v>698</v>
      </c>
      <c r="R76" s="10" t="s">
        <v>699</v>
      </c>
      <c r="S76" s="10" t="s">
        <v>69</v>
      </c>
      <c r="T76" s="13" t="s">
        <v>70</v>
      </c>
      <c r="U76" s="13"/>
      <c r="V76" s="14"/>
    </row>
    <row r="77" customFormat="false" ht="23.85" hidden="false" customHeight="false" outlineLevel="0" collapsed="false">
      <c r="A77" s="10" t="s">
        <v>700</v>
      </c>
      <c r="B77" s="10" t="s">
        <v>54</v>
      </c>
      <c r="C77" s="10" t="s">
        <v>604</v>
      </c>
      <c r="D77" s="10" t="s">
        <v>213</v>
      </c>
      <c r="E77" s="10" t="n">
        <v>3</v>
      </c>
      <c r="F77" s="11" t="s">
        <v>701</v>
      </c>
      <c r="G77" s="10"/>
      <c r="H77" s="10"/>
      <c r="I77" s="10"/>
      <c r="J77" s="10"/>
      <c r="K77" s="10" t="s">
        <v>702</v>
      </c>
      <c r="L77" s="11" t="s">
        <v>703</v>
      </c>
      <c r="M77" s="10" t="s">
        <v>64</v>
      </c>
      <c r="N77" s="10"/>
      <c r="O77" s="10" t="s">
        <v>427</v>
      </c>
      <c r="P77" s="10" t="s">
        <v>66</v>
      </c>
      <c r="Q77" s="12" t="s">
        <v>704</v>
      </c>
      <c r="R77" s="10" t="s">
        <v>705</v>
      </c>
      <c r="S77" s="10" t="s">
        <v>69</v>
      </c>
      <c r="T77" s="13" t="s">
        <v>70</v>
      </c>
      <c r="U77" s="13"/>
      <c r="V77" s="14"/>
    </row>
    <row r="78" customFormat="false" ht="23.85" hidden="false" customHeight="false" outlineLevel="0" collapsed="false">
      <c r="A78" s="10" t="s">
        <v>706</v>
      </c>
      <c r="B78" s="10" t="s">
        <v>54</v>
      </c>
      <c r="C78" s="10" t="s">
        <v>604</v>
      </c>
      <c r="D78" s="10" t="s">
        <v>56</v>
      </c>
      <c r="E78" s="10" t="n">
        <v>3</v>
      </c>
      <c r="F78" s="11" t="s">
        <v>707</v>
      </c>
      <c r="G78" s="10" t="s">
        <v>616</v>
      </c>
      <c r="H78" s="10" t="s">
        <v>615</v>
      </c>
      <c r="I78" s="10" t="s">
        <v>617</v>
      </c>
      <c r="J78" s="10" t="s">
        <v>614</v>
      </c>
      <c r="K78" s="10" t="s">
        <v>62</v>
      </c>
      <c r="L78" s="11" t="s">
        <v>708</v>
      </c>
      <c r="M78" s="10" t="s">
        <v>64</v>
      </c>
      <c r="N78" s="10"/>
      <c r="O78" s="10" t="s">
        <v>427</v>
      </c>
      <c r="P78" s="10" t="s">
        <v>66</v>
      </c>
      <c r="Q78" s="12" t="s">
        <v>709</v>
      </c>
      <c r="R78" s="10" t="s">
        <v>710</v>
      </c>
      <c r="S78" s="10" t="s">
        <v>69</v>
      </c>
      <c r="T78" s="13" t="s">
        <v>70</v>
      </c>
      <c r="U78" s="13"/>
      <c r="V78" s="14"/>
    </row>
    <row r="79" customFormat="false" ht="23.85" hidden="false" customHeight="false" outlineLevel="0" collapsed="false">
      <c r="A79" s="10" t="s">
        <v>711</v>
      </c>
      <c r="B79" s="10" t="s">
        <v>54</v>
      </c>
      <c r="C79" s="10" t="s">
        <v>641</v>
      </c>
      <c r="D79" s="10" t="s">
        <v>56</v>
      </c>
      <c r="E79" s="10" t="n">
        <v>3</v>
      </c>
      <c r="F79" s="11" t="s">
        <v>712</v>
      </c>
      <c r="G79" s="10" t="s">
        <v>713</v>
      </c>
      <c r="H79" s="10" t="s">
        <v>714</v>
      </c>
      <c r="I79" s="10" t="s">
        <v>715</v>
      </c>
      <c r="J79" s="10" t="s">
        <v>716</v>
      </c>
      <c r="K79" s="10" t="s">
        <v>62</v>
      </c>
      <c r="L79" s="11" t="s">
        <v>717</v>
      </c>
      <c r="M79" s="10" t="s">
        <v>64</v>
      </c>
      <c r="N79" s="10"/>
      <c r="O79" s="10" t="s">
        <v>361</v>
      </c>
      <c r="P79" s="10" t="s">
        <v>66</v>
      </c>
      <c r="Q79" s="12" t="s">
        <v>718</v>
      </c>
      <c r="R79" s="10" t="s">
        <v>719</v>
      </c>
      <c r="S79" s="10" t="s">
        <v>69</v>
      </c>
      <c r="T79" s="13" t="s">
        <v>70</v>
      </c>
      <c r="U79" s="13"/>
      <c r="V79" s="14"/>
    </row>
    <row r="80" customFormat="false" ht="23.85" hidden="false" customHeight="false" outlineLevel="0" collapsed="false">
      <c r="A80" s="10" t="s">
        <v>720</v>
      </c>
      <c r="B80" s="10" t="s">
        <v>54</v>
      </c>
      <c r="C80" s="10" t="s">
        <v>604</v>
      </c>
      <c r="D80" s="10" t="s">
        <v>56</v>
      </c>
      <c r="E80" s="10" t="n">
        <v>3</v>
      </c>
      <c r="F80" s="11" t="s">
        <v>721</v>
      </c>
      <c r="G80" s="10" t="s">
        <v>722</v>
      </c>
      <c r="H80" s="10" t="s">
        <v>723</v>
      </c>
      <c r="I80" s="10" t="s">
        <v>724</v>
      </c>
      <c r="J80" s="10" t="s">
        <v>725</v>
      </c>
      <c r="K80" s="10" t="s">
        <v>62</v>
      </c>
      <c r="L80" s="11" t="s">
        <v>726</v>
      </c>
      <c r="M80" s="10" t="s">
        <v>64</v>
      </c>
      <c r="N80" s="10"/>
      <c r="O80" s="10" t="s">
        <v>361</v>
      </c>
      <c r="P80" s="10" t="s">
        <v>66</v>
      </c>
      <c r="Q80" s="12" t="s">
        <v>727</v>
      </c>
      <c r="R80" s="10" t="s">
        <v>728</v>
      </c>
      <c r="S80" s="10" t="s">
        <v>69</v>
      </c>
      <c r="T80" s="13" t="s">
        <v>70</v>
      </c>
      <c r="U80" s="13"/>
      <c r="V80" s="14"/>
    </row>
    <row r="81" customFormat="false" ht="46.25" hidden="false" customHeight="false" outlineLevel="0" collapsed="false">
      <c r="A81" s="10" t="s">
        <v>729</v>
      </c>
      <c r="B81" s="10" t="s">
        <v>54</v>
      </c>
      <c r="C81" s="10" t="s">
        <v>641</v>
      </c>
      <c r="D81" s="10" t="s">
        <v>56</v>
      </c>
      <c r="E81" s="10" t="n">
        <v>3</v>
      </c>
      <c r="F81" s="11" t="s">
        <v>730</v>
      </c>
      <c r="G81" s="10" t="s">
        <v>731</v>
      </c>
      <c r="H81" s="10" t="s">
        <v>732</v>
      </c>
      <c r="I81" s="10" t="s">
        <v>733</v>
      </c>
      <c r="J81" s="10" t="s">
        <v>734</v>
      </c>
      <c r="K81" s="10" t="s">
        <v>62</v>
      </c>
      <c r="L81" s="11" t="s">
        <v>735</v>
      </c>
      <c r="M81" s="10" t="s">
        <v>64</v>
      </c>
      <c r="N81" s="10"/>
      <c r="O81" s="10" t="s">
        <v>331</v>
      </c>
      <c r="P81" s="10" t="s">
        <v>66</v>
      </c>
      <c r="Q81" s="12" t="s">
        <v>736</v>
      </c>
      <c r="R81" s="10" t="s">
        <v>737</v>
      </c>
      <c r="S81" s="10" t="s">
        <v>69</v>
      </c>
      <c r="T81" s="13" t="s">
        <v>70</v>
      </c>
      <c r="U81" s="13"/>
      <c r="V81" s="14" t="s">
        <v>738</v>
      </c>
    </row>
    <row r="82" customFormat="false" ht="23.85" hidden="false" customHeight="false" outlineLevel="0" collapsed="false">
      <c r="A82" s="10" t="s">
        <v>739</v>
      </c>
      <c r="B82" s="10" t="s">
        <v>54</v>
      </c>
      <c r="C82" s="10" t="s">
        <v>604</v>
      </c>
      <c r="D82" s="10" t="s">
        <v>56</v>
      </c>
      <c r="E82" s="10" t="n">
        <v>3</v>
      </c>
      <c r="F82" s="11" t="s">
        <v>740</v>
      </c>
      <c r="G82" s="10" t="s">
        <v>741</v>
      </c>
      <c r="H82" s="10" t="s">
        <v>742</v>
      </c>
      <c r="I82" s="10" t="s">
        <v>743</v>
      </c>
      <c r="J82" s="10" t="s">
        <v>744</v>
      </c>
      <c r="K82" s="10" t="s">
        <v>62</v>
      </c>
      <c r="L82" s="11" t="s">
        <v>745</v>
      </c>
      <c r="M82" s="10" t="s">
        <v>64</v>
      </c>
      <c r="N82" s="10"/>
      <c r="O82" s="10" t="s">
        <v>331</v>
      </c>
      <c r="P82" s="10" t="s">
        <v>66</v>
      </c>
      <c r="Q82" s="12" t="s">
        <v>746</v>
      </c>
      <c r="R82" s="10" t="s">
        <v>747</v>
      </c>
      <c r="S82" s="10" t="s">
        <v>69</v>
      </c>
      <c r="T82" s="13" t="s">
        <v>70</v>
      </c>
      <c r="U82" s="13"/>
      <c r="V82" s="14"/>
    </row>
    <row r="83" customFormat="false" ht="23.85" hidden="false" customHeight="false" outlineLevel="0" collapsed="false">
      <c r="A83" s="10" t="s">
        <v>748</v>
      </c>
      <c r="B83" s="10" t="s">
        <v>54</v>
      </c>
      <c r="C83" s="10" t="s">
        <v>622</v>
      </c>
      <c r="D83" s="10" t="s">
        <v>56</v>
      </c>
      <c r="E83" s="10" t="n">
        <v>3</v>
      </c>
      <c r="F83" s="11" t="s">
        <v>749</v>
      </c>
      <c r="G83" s="10" t="s">
        <v>750</v>
      </c>
      <c r="H83" s="10" t="s">
        <v>751</v>
      </c>
      <c r="I83" s="10" t="s">
        <v>624</v>
      </c>
      <c r="J83" s="10" t="s">
        <v>752</v>
      </c>
      <c r="K83" s="10" t="s">
        <v>62</v>
      </c>
      <c r="L83" s="11" t="s">
        <v>753</v>
      </c>
      <c r="M83" s="10" t="s">
        <v>64</v>
      </c>
      <c r="N83" s="10"/>
      <c r="O83" s="10" t="s">
        <v>65</v>
      </c>
      <c r="P83" s="10" t="s">
        <v>66</v>
      </c>
      <c r="Q83" s="12" t="s">
        <v>629</v>
      </c>
      <c r="R83" s="10" t="s">
        <v>630</v>
      </c>
      <c r="S83" s="10" t="s">
        <v>69</v>
      </c>
      <c r="T83" s="13" t="s">
        <v>70</v>
      </c>
      <c r="U83" s="13"/>
      <c r="V83" s="14"/>
    </row>
    <row r="84" customFormat="false" ht="23.85" hidden="false" customHeight="false" outlineLevel="0" collapsed="false">
      <c r="A84" s="10" t="s">
        <v>754</v>
      </c>
      <c r="B84" s="10" t="s">
        <v>54</v>
      </c>
      <c r="C84" s="10" t="s">
        <v>622</v>
      </c>
      <c r="D84" s="10" t="s">
        <v>56</v>
      </c>
      <c r="E84" s="10" t="n">
        <v>3</v>
      </c>
      <c r="F84" s="11" t="s">
        <v>755</v>
      </c>
      <c r="G84" s="10" t="s">
        <v>110</v>
      </c>
      <c r="H84" s="10" t="s">
        <v>244</v>
      </c>
      <c r="I84" s="10" t="s">
        <v>756</v>
      </c>
      <c r="J84" s="10" t="s">
        <v>286</v>
      </c>
      <c r="K84" s="10" t="s">
        <v>62</v>
      </c>
      <c r="L84" s="11" t="s">
        <v>757</v>
      </c>
      <c r="M84" s="10" t="s">
        <v>64</v>
      </c>
      <c r="N84" s="10"/>
      <c r="O84" s="10" t="s">
        <v>65</v>
      </c>
      <c r="P84" s="10" t="s">
        <v>66</v>
      </c>
      <c r="Q84" s="12" t="s">
        <v>758</v>
      </c>
      <c r="R84" s="10" t="s">
        <v>759</v>
      </c>
      <c r="S84" s="10" t="s">
        <v>69</v>
      </c>
      <c r="T84" s="13" t="s">
        <v>70</v>
      </c>
      <c r="U84" s="13"/>
      <c r="V84" s="14"/>
    </row>
    <row r="85" customFormat="false" ht="23.85" hidden="false" customHeight="false" outlineLevel="0" collapsed="false">
      <c r="A85" s="10" t="s">
        <v>760</v>
      </c>
      <c r="B85" s="10" t="s">
        <v>54</v>
      </c>
      <c r="C85" s="10" t="s">
        <v>641</v>
      </c>
      <c r="D85" s="10" t="s">
        <v>56</v>
      </c>
      <c r="E85" s="10" t="n">
        <v>3</v>
      </c>
      <c r="F85" s="11" t="s">
        <v>761</v>
      </c>
      <c r="G85" s="10" t="s">
        <v>762</v>
      </c>
      <c r="H85" s="10" t="s">
        <v>763</v>
      </c>
      <c r="I85" s="10" t="s">
        <v>764</v>
      </c>
      <c r="J85" s="10" t="s">
        <v>765</v>
      </c>
      <c r="K85" s="10" t="s">
        <v>62</v>
      </c>
      <c r="L85" s="11" t="s">
        <v>766</v>
      </c>
      <c r="M85" s="10" t="s">
        <v>64</v>
      </c>
      <c r="N85" s="10"/>
      <c r="O85" s="10" t="s">
        <v>320</v>
      </c>
      <c r="P85" s="10" t="s">
        <v>66</v>
      </c>
      <c r="Q85" s="12" t="s">
        <v>767</v>
      </c>
      <c r="R85" s="10" t="s">
        <v>768</v>
      </c>
      <c r="S85" s="10" t="s">
        <v>69</v>
      </c>
      <c r="T85" s="13" t="s">
        <v>70</v>
      </c>
      <c r="U85" s="13"/>
      <c r="V85" s="14"/>
    </row>
    <row r="86" customFormat="false" ht="23.85" hidden="false" customHeight="false" outlineLevel="0" collapsed="false">
      <c r="A86" s="10" t="s">
        <v>769</v>
      </c>
      <c r="B86" s="10" t="s">
        <v>54</v>
      </c>
      <c r="C86" s="10" t="s">
        <v>604</v>
      </c>
      <c r="D86" s="10" t="s">
        <v>56</v>
      </c>
      <c r="E86" s="10" t="n">
        <v>3</v>
      </c>
      <c r="F86" s="11" t="s">
        <v>770</v>
      </c>
      <c r="G86" s="10" t="s">
        <v>725</v>
      </c>
      <c r="H86" s="10" t="s">
        <v>771</v>
      </c>
      <c r="I86" s="10" t="s">
        <v>772</v>
      </c>
      <c r="J86" s="10" t="s">
        <v>773</v>
      </c>
      <c r="K86" s="10" t="s">
        <v>62</v>
      </c>
      <c r="L86" s="11" t="s">
        <v>774</v>
      </c>
      <c r="M86" s="10" t="s">
        <v>64</v>
      </c>
      <c r="N86" s="10"/>
      <c r="O86" s="10" t="s">
        <v>320</v>
      </c>
      <c r="P86" s="10" t="s">
        <v>66</v>
      </c>
      <c r="Q86" s="12" t="s">
        <v>775</v>
      </c>
      <c r="R86" s="10" t="s">
        <v>776</v>
      </c>
      <c r="S86" s="10" t="s">
        <v>69</v>
      </c>
      <c r="T86" s="13" t="s">
        <v>70</v>
      </c>
      <c r="U86" s="13"/>
      <c r="V86" s="14"/>
    </row>
    <row r="87" customFormat="false" ht="23.85" hidden="false" customHeight="false" outlineLevel="0" collapsed="false">
      <c r="A87" s="10" t="s">
        <v>777</v>
      </c>
      <c r="B87" s="10" t="s">
        <v>54</v>
      </c>
      <c r="C87" s="10" t="s">
        <v>604</v>
      </c>
      <c r="D87" s="10" t="s">
        <v>56</v>
      </c>
      <c r="E87" s="10" t="n">
        <v>4</v>
      </c>
      <c r="F87" s="11" t="s">
        <v>778</v>
      </c>
      <c r="G87" s="10" t="s">
        <v>779</v>
      </c>
      <c r="H87" s="10" t="s">
        <v>780</v>
      </c>
      <c r="I87" s="10" t="s">
        <v>781</v>
      </c>
      <c r="J87" s="10" t="s">
        <v>782</v>
      </c>
      <c r="K87" s="10" t="s">
        <v>62</v>
      </c>
      <c r="L87" s="11" t="s">
        <v>783</v>
      </c>
      <c r="M87" s="10" t="s">
        <v>64</v>
      </c>
      <c r="N87" s="10"/>
      <c r="O87" s="10" t="s">
        <v>427</v>
      </c>
      <c r="P87" s="10" t="s">
        <v>66</v>
      </c>
      <c r="Q87" s="12" t="s">
        <v>784</v>
      </c>
      <c r="R87" s="10" t="s">
        <v>785</v>
      </c>
      <c r="S87" s="10" t="s">
        <v>69</v>
      </c>
      <c r="T87" s="13" t="s">
        <v>70</v>
      </c>
      <c r="U87" s="13"/>
      <c r="V87" s="14"/>
    </row>
    <row r="88" customFormat="false" ht="23.85" hidden="false" customHeight="false" outlineLevel="0" collapsed="false">
      <c r="A88" s="10" t="s">
        <v>786</v>
      </c>
      <c r="B88" s="10" t="s">
        <v>54</v>
      </c>
      <c r="C88" s="10" t="s">
        <v>604</v>
      </c>
      <c r="D88" s="10" t="s">
        <v>56</v>
      </c>
      <c r="E88" s="10" t="n">
        <v>4</v>
      </c>
      <c r="F88" s="11" t="s">
        <v>787</v>
      </c>
      <c r="G88" s="10" t="s">
        <v>772</v>
      </c>
      <c r="H88" s="10" t="s">
        <v>614</v>
      </c>
      <c r="I88" s="10" t="s">
        <v>788</v>
      </c>
      <c r="J88" s="10" t="s">
        <v>789</v>
      </c>
      <c r="K88" s="10" t="s">
        <v>62</v>
      </c>
      <c r="L88" s="11" t="s">
        <v>790</v>
      </c>
      <c r="M88" s="10" t="s">
        <v>64</v>
      </c>
      <c r="N88" s="10"/>
      <c r="O88" s="10" t="s">
        <v>320</v>
      </c>
      <c r="P88" s="10" t="s">
        <v>66</v>
      </c>
      <c r="Q88" s="12" t="s">
        <v>791</v>
      </c>
      <c r="R88" s="10" t="s">
        <v>792</v>
      </c>
      <c r="S88" s="10" t="s">
        <v>69</v>
      </c>
      <c r="T88" s="13" t="s">
        <v>70</v>
      </c>
      <c r="U88" s="13"/>
      <c r="V88" s="14"/>
    </row>
    <row r="89" customFormat="false" ht="23.85" hidden="false" customHeight="false" outlineLevel="0" collapsed="false">
      <c r="A89" s="10" t="s">
        <v>793</v>
      </c>
      <c r="B89" s="10" t="s">
        <v>54</v>
      </c>
      <c r="C89" s="10" t="s">
        <v>641</v>
      </c>
      <c r="D89" s="10" t="s">
        <v>213</v>
      </c>
      <c r="E89" s="10" t="n">
        <v>4</v>
      </c>
      <c r="F89" s="11" t="s">
        <v>794</v>
      </c>
      <c r="G89" s="10"/>
      <c r="H89" s="10"/>
      <c r="I89" s="10"/>
      <c r="J89" s="10"/>
      <c r="K89" s="10" t="s">
        <v>795</v>
      </c>
      <c r="L89" s="11" t="s">
        <v>796</v>
      </c>
      <c r="M89" s="10" t="s">
        <v>64</v>
      </c>
      <c r="N89" s="10"/>
      <c r="O89" s="10" t="s">
        <v>320</v>
      </c>
      <c r="P89" s="10" t="s">
        <v>66</v>
      </c>
      <c r="Q89" s="12" t="s">
        <v>797</v>
      </c>
      <c r="R89" s="10" t="s">
        <v>798</v>
      </c>
      <c r="S89" s="10" t="s">
        <v>69</v>
      </c>
      <c r="T89" s="13" t="s">
        <v>70</v>
      </c>
      <c r="U89" s="13"/>
      <c r="V89" s="14"/>
    </row>
    <row r="90" customFormat="false" ht="23.85" hidden="false" customHeight="false" outlineLevel="0" collapsed="false">
      <c r="A90" s="10" t="s">
        <v>799</v>
      </c>
      <c r="B90" s="10" t="s">
        <v>54</v>
      </c>
      <c r="C90" s="10" t="s">
        <v>622</v>
      </c>
      <c r="D90" s="10" t="s">
        <v>213</v>
      </c>
      <c r="E90" s="10" t="n">
        <v>4</v>
      </c>
      <c r="F90" s="11" t="s">
        <v>800</v>
      </c>
      <c r="G90" s="10"/>
      <c r="H90" s="10"/>
      <c r="I90" s="10"/>
      <c r="J90" s="10"/>
      <c r="K90" s="10" t="s">
        <v>801</v>
      </c>
      <c r="L90" s="11" t="s">
        <v>802</v>
      </c>
      <c r="M90" s="10" t="s">
        <v>64</v>
      </c>
      <c r="N90" s="10"/>
      <c r="O90" s="10" t="s">
        <v>65</v>
      </c>
      <c r="P90" s="10" t="s">
        <v>66</v>
      </c>
      <c r="Q90" s="12" t="s">
        <v>803</v>
      </c>
      <c r="R90" s="10" t="s">
        <v>804</v>
      </c>
      <c r="S90" s="10" t="s">
        <v>69</v>
      </c>
      <c r="T90" s="13" t="s">
        <v>70</v>
      </c>
      <c r="U90" s="13"/>
      <c r="V90" s="14"/>
    </row>
    <row r="91" customFormat="false" ht="46.25" hidden="false" customHeight="false" outlineLevel="0" collapsed="false">
      <c r="A91" s="10" t="s">
        <v>805</v>
      </c>
      <c r="B91" s="10" t="s">
        <v>54</v>
      </c>
      <c r="C91" s="10" t="s">
        <v>641</v>
      </c>
      <c r="D91" s="10" t="s">
        <v>56</v>
      </c>
      <c r="E91" s="10" t="n">
        <v>4</v>
      </c>
      <c r="F91" s="11" t="s">
        <v>806</v>
      </c>
      <c r="G91" s="10" t="s">
        <v>807</v>
      </c>
      <c r="H91" s="10" t="s">
        <v>808</v>
      </c>
      <c r="I91" s="10" t="s">
        <v>809</v>
      </c>
      <c r="J91" s="10" t="s">
        <v>810</v>
      </c>
      <c r="K91" s="10" t="s">
        <v>62</v>
      </c>
      <c r="L91" s="11" t="s">
        <v>811</v>
      </c>
      <c r="M91" s="10" t="s">
        <v>64</v>
      </c>
      <c r="N91" s="10"/>
      <c r="O91" s="10" t="s">
        <v>361</v>
      </c>
      <c r="P91" s="10" t="s">
        <v>66</v>
      </c>
      <c r="Q91" s="12" t="s">
        <v>812</v>
      </c>
      <c r="R91" s="10" t="s">
        <v>813</v>
      </c>
      <c r="S91" s="10" t="s">
        <v>69</v>
      </c>
      <c r="T91" s="13" t="s">
        <v>70</v>
      </c>
      <c r="U91" s="13"/>
      <c r="V91" s="14" t="s">
        <v>814</v>
      </c>
    </row>
    <row r="92" customFormat="false" ht="23.85" hidden="false" customHeight="false" outlineLevel="0" collapsed="false">
      <c r="A92" s="10" t="s">
        <v>815</v>
      </c>
      <c r="B92" s="10" t="s">
        <v>54</v>
      </c>
      <c r="C92" s="10" t="s">
        <v>622</v>
      </c>
      <c r="D92" s="10" t="s">
        <v>56</v>
      </c>
      <c r="E92" s="10" t="n">
        <v>4</v>
      </c>
      <c r="F92" s="11" t="s">
        <v>816</v>
      </c>
      <c r="G92" s="10" t="s">
        <v>817</v>
      </c>
      <c r="H92" s="10" t="s">
        <v>679</v>
      </c>
      <c r="I92" s="10" t="s">
        <v>818</v>
      </c>
      <c r="J92" s="10" t="s">
        <v>819</v>
      </c>
      <c r="K92" s="10" t="s">
        <v>62</v>
      </c>
      <c r="L92" s="11" t="s">
        <v>820</v>
      </c>
      <c r="M92" s="10" t="s">
        <v>64</v>
      </c>
      <c r="N92" s="10"/>
      <c r="O92" s="10" t="s">
        <v>65</v>
      </c>
      <c r="P92" s="10" t="s">
        <v>66</v>
      </c>
      <c r="Q92" s="12" t="s">
        <v>302</v>
      </c>
      <c r="R92" s="10" t="s">
        <v>821</v>
      </c>
      <c r="S92" s="10" t="s">
        <v>69</v>
      </c>
      <c r="T92" s="13" t="s">
        <v>70</v>
      </c>
      <c r="U92" s="13"/>
      <c r="V92" s="14"/>
    </row>
    <row r="93" customFormat="false" ht="23.85" hidden="false" customHeight="false" outlineLevel="0" collapsed="false">
      <c r="A93" s="10" t="s">
        <v>822</v>
      </c>
      <c r="B93" s="10" t="s">
        <v>54</v>
      </c>
      <c r="C93" s="10" t="s">
        <v>604</v>
      </c>
      <c r="D93" s="10" t="s">
        <v>56</v>
      </c>
      <c r="E93" s="10" t="n">
        <v>5</v>
      </c>
      <c r="F93" s="11" t="s">
        <v>823</v>
      </c>
      <c r="G93" s="10" t="s">
        <v>824</v>
      </c>
      <c r="H93" s="10" t="s">
        <v>825</v>
      </c>
      <c r="I93" s="10" t="s">
        <v>826</v>
      </c>
      <c r="J93" s="10" t="s">
        <v>827</v>
      </c>
      <c r="K93" s="10" t="s">
        <v>62</v>
      </c>
      <c r="L93" s="11" t="s">
        <v>828</v>
      </c>
      <c r="M93" s="10" t="s">
        <v>64</v>
      </c>
      <c r="N93" s="10"/>
      <c r="O93" s="10" t="s">
        <v>331</v>
      </c>
      <c r="P93" s="10" t="s">
        <v>66</v>
      </c>
      <c r="Q93" s="12" t="s">
        <v>829</v>
      </c>
      <c r="R93" s="10" t="s">
        <v>830</v>
      </c>
      <c r="S93" s="10" t="s">
        <v>69</v>
      </c>
      <c r="T93" s="13" t="s">
        <v>70</v>
      </c>
      <c r="U93" s="13"/>
      <c r="V93" s="14"/>
    </row>
    <row r="94" customFormat="false" ht="23.85" hidden="false" customHeight="false" outlineLevel="0" collapsed="false">
      <c r="A94" s="10" t="s">
        <v>831</v>
      </c>
      <c r="B94" s="10" t="s">
        <v>54</v>
      </c>
      <c r="C94" s="10" t="s">
        <v>604</v>
      </c>
      <c r="D94" s="10" t="s">
        <v>56</v>
      </c>
      <c r="E94" s="10" t="n">
        <v>5</v>
      </c>
      <c r="F94" s="11" t="s">
        <v>832</v>
      </c>
      <c r="G94" s="10" t="s">
        <v>833</v>
      </c>
      <c r="H94" s="10" t="s">
        <v>83</v>
      </c>
      <c r="I94" s="10" t="s">
        <v>235</v>
      </c>
      <c r="J94" s="10" t="s">
        <v>86</v>
      </c>
      <c r="K94" s="10" t="s">
        <v>62</v>
      </c>
      <c r="L94" s="11" t="s">
        <v>834</v>
      </c>
      <c r="M94" s="10" t="s">
        <v>64</v>
      </c>
      <c r="N94" s="10"/>
      <c r="O94" s="10" t="s">
        <v>427</v>
      </c>
      <c r="P94" s="10" t="s">
        <v>66</v>
      </c>
      <c r="Q94" s="12" t="s">
        <v>835</v>
      </c>
      <c r="R94" s="10" t="s">
        <v>836</v>
      </c>
      <c r="S94" s="10" t="s">
        <v>69</v>
      </c>
      <c r="T94" s="13" t="s">
        <v>70</v>
      </c>
      <c r="U94" s="13"/>
      <c r="V94" s="14" t="s">
        <v>837</v>
      </c>
    </row>
    <row r="95" customFormat="false" ht="23.85" hidden="false" customHeight="false" outlineLevel="0" collapsed="false">
      <c r="A95" s="10" t="s">
        <v>838</v>
      </c>
      <c r="B95" s="10" t="s">
        <v>54</v>
      </c>
      <c r="C95" s="10" t="s">
        <v>604</v>
      </c>
      <c r="D95" s="10" t="s">
        <v>56</v>
      </c>
      <c r="E95" s="10" t="n">
        <v>5</v>
      </c>
      <c r="F95" s="11" t="s">
        <v>839</v>
      </c>
      <c r="G95" s="10" t="s">
        <v>840</v>
      </c>
      <c r="H95" s="10" t="s">
        <v>841</v>
      </c>
      <c r="I95" s="10" t="s">
        <v>842</v>
      </c>
      <c r="J95" s="10" t="s">
        <v>843</v>
      </c>
      <c r="K95" s="10" t="s">
        <v>62</v>
      </c>
      <c r="L95" s="11" t="s">
        <v>844</v>
      </c>
      <c r="M95" s="10" t="s">
        <v>64</v>
      </c>
      <c r="N95" s="10"/>
      <c r="O95" s="10" t="s">
        <v>361</v>
      </c>
      <c r="P95" s="10" t="s">
        <v>66</v>
      </c>
      <c r="Q95" s="12" t="s">
        <v>845</v>
      </c>
      <c r="R95" s="10" t="s">
        <v>846</v>
      </c>
      <c r="S95" s="10" t="s">
        <v>69</v>
      </c>
      <c r="T95" s="13" t="s">
        <v>70</v>
      </c>
      <c r="U95" s="13"/>
      <c r="V95" s="14"/>
    </row>
    <row r="96" customFormat="false" ht="23.85" hidden="false" customHeight="false" outlineLevel="0" collapsed="false">
      <c r="A96" s="10" t="s">
        <v>847</v>
      </c>
      <c r="B96" s="10" t="s">
        <v>54</v>
      </c>
      <c r="C96" s="10" t="s">
        <v>622</v>
      </c>
      <c r="D96" s="10" t="s">
        <v>56</v>
      </c>
      <c r="E96" s="10" t="n">
        <v>5</v>
      </c>
      <c r="F96" s="11" t="s">
        <v>848</v>
      </c>
      <c r="G96" s="10" t="s">
        <v>849</v>
      </c>
      <c r="H96" s="10" t="s">
        <v>850</v>
      </c>
      <c r="I96" s="10" t="s">
        <v>851</v>
      </c>
      <c r="J96" s="10" t="s">
        <v>852</v>
      </c>
      <c r="K96" s="10" t="s">
        <v>62</v>
      </c>
      <c r="L96" s="11" t="s">
        <v>853</v>
      </c>
      <c r="M96" s="10" t="s">
        <v>64</v>
      </c>
      <c r="N96" s="10"/>
      <c r="O96" s="10" t="s">
        <v>65</v>
      </c>
      <c r="P96" s="10" t="s">
        <v>66</v>
      </c>
      <c r="Q96" s="12" t="s">
        <v>106</v>
      </c>
      <c r="R96" s="10" t="s">
        <v>854</v>
      </c>
      <c r="S96" s="10" t="s">
        <v>69</v>
      </c>
      <c r="T96" s="13" t="s">
        <v>70</v>
      </c>
      <c r="U96" s="13"/>
      <c r="V96" s="14"/>
    </row>
    <row r="97" customFormat="false" ht="23.85" hidden="false" customHeight="false" outlineLevel="0" collapsed="false">
      <c r="A97" s="10" t="s">
        <v>855</v>
      </c>
      <c r="B97" s="10" t="s">
        <v>54</v>
      </c>
      <c r="C97" s="10" t="s">
        <v>604</v>
      </c>
      <c r="D97" s="10" t="s">
        <v>56</v>
      </c>
      <c r="E97" s="10" t="n">
        <v>5</v>
      </c>
      <c r="F97" s="11" t="s">
        <v>856</v>
      </c>
      <c r="G97" s="10" t="s">
        <v>788</v>
      </c>
      <c r="H97" s="10" t="s">
        <v>772</v>
      </c>
      <c r="I97" s="10" t="s">
        <v>857</v>
      </c>
      <c r="J97" s="10" t="s">
        <v>615</v>
      </c>
      <c r="K97" s="10" t="s">
        <v>62</v>
      </c>
      <c r="L97" s="11" t="s">
        <v>858</v>
      </c>
      <c r="M97" s="10" t="s">
        <v>64</v>
      </c>
      <c r="N97" s="10"/>
      <c r="O97" s="10" t="s">
        <v>361</v>
      </c>
      <c r="P97" s="10" t="s">
        <v>66</v>
      </c>
      <c r="Q97" s="12" t="s">
        <v>859</v>
      </c>
      <c r="R97" s="10" t="s">
        <v>860</v>
      </c>
      <c r="S97" s="10" t="s">
        <v>69</v>
      </c>
      <c r="T97" s="13" t="s">
        <v>70</v>
      </c>
      <c r="U97" s="13"/>
      <c r="V97" s="14"/>
    </row>
    <row r="98" customFormat="false" ht="57.45" hidden="false" customHeight="false" outlineLevel="0" collapsed="false">
      <c r="A98" s="10" t="s">
        <v>861</v>
      </c>
      <c r="B98" s="10" t="s">
        <v>54</v>
      </c>
      <c r="C98" s="10" t="s">
        <v>862</v>
      </c>
      <c r="D98" s="10" t="s">
        <v>56</v>
      </c>
      <c r="E98" s="10" t="n">
        <v>1</v>
      </c>
      <c r="F98" s="11" t="s">
        <v>863</v>
      </c>
      <c r="G98" s="10" t="s">
        <v>864</v>
      </c>
      <c r="H98" s="10" t="s">
        <v>865</v>
      </c>
      <c r="I98" s="10" t="s">
        <v>866</v>
      </c>
      <c r="J98" s="10" t="s">
        <v>867</v>
      </c>
      <c r="K98" s="10" t="s">
        <v>62</v>
      </c>
      <c r="L98" s="11" t="s">
        <v>868</v>
      </c>
      <c r="M98" s="10" t="s">
        <v>64</v>
      </c>
      <c r="N98" s="10"/>
      <c r="O98" s="10" t="s">
        <v>65</v>
      </c>
      <c r="P98" s="10" t="s">
        <v>66</v>
      </c>
      <c r="Q98" s="12" t="s">
        <v>869</v>
      </c>
      <c r="R98" s="10" t="s">
        <v>870</v>
      </c>
      <c r="S98" s="10" t="s">
        <v>69</v>
      </c>
      <c r="T98" s="13" t="s">
        <v>70</v>
      </c>
      <c r="U98" s="13"/>
      <c r="V98" s="14" t="s">
        <v>871</v>
      </c>
    </row>
    <row r="99" customFormat="false" ht="23.85" hidden="false" customHeight="false" outlineLevel="0" collapsed="false">
      <c r="A99" s="10" t="s">
        <v>872</v>
      </c>
      <c r="B99" s="10" t="s">
        <v>54</v>
      </c>
      <c r="C99" s="10" t="s">
        <v>862</v>
      </c>
      <c r="D99" s="10" t="s">
        <v>56</v>
      </c>
      <c r="E99" s="10" t="n">
        <v>1</v>
      </c>
      <c r="F99" s="11" t="s">
        <v>873</v>
      </c>
      <c r="G99" s="10" t="s">
        <v>498</v>
      </c>
      <c r="H99" s="10" t="s">
        <v>130</v>
      </c>
      <c r="I99" s="10" t="s">
        <v>129</v>
      </c>
      <c r="J99" s="10" t="s">
        <v>874</v>
      </c>
      <c r="K99" s="10" t="s">
        <v>62</v>
      </c>
      <c r="L99" s="11" t="s">
        <v>875</v>
      </c>
      <c r="M99" s="10" t="s">
        <v>64</v>
      </c>
      <c r="N99" s="10" t="s">
        <v>217</v>
      </c>
      <c r="O99" s="10" t="s">
        <v>65</v>
      </c>
      <c r="P99" s="10" t="s">
        <v>66</v>
      </c>
      <c r="Q99" s="12" t="s">
        <v>876</v>
      </c>
      <c r="R99" s="10" t="s">
        <v>877</v>
      </c>
      <c r="S99" s="10" t="s">
        <v>69</v>
      </c>
      <c r="T99" s="13" t="s">
        <v>70</v>
      </c>
      <c r="U99" s="13"/>
      <c r="V99" s="14"/>
    </row>
    <row r="100" customFormat="false" ht="23.85" hidden="false" customHeight="false" outlineLevel="0" collapsed="false">
      <c r="A100" s="10" t="s">
        <v>878</v>
      </c>
      <c r="B100" s="10" t="s">
        <v>54</v>
      </c>
      <c r="C100" s="10" t="s">
        <v>862</v>
      </c>
      <c r="D100" s="10" t="s">
        <v>56</v>
      </c>
      <c r="E100" s="10" t="n">
        <v>1</v>
      </c>
      <c r="F100" s="11" t="s">
        <v>879</v>
      </c>
      <c r="G100" s="10" t="s">
        <v>880</v>
      </c>
      <c r="H100" s="10" t="s">
        <v>881</v>
      </c>
      <c r="I100" s="10" t="s">
        <v>882</v>
      </c>
      <c r="J100" s="10" t="s">
        <v>883</v>
      </c>
      <c r="K100" s="10" t="s">
        <v>62</v>
      </c>
      <c r="L100" s="11" t="s">
        <v>884</v>
      </c>
      <c r="M100" s="10" t="s">
        <v>64</v>
      </c>
      <c r="N100" s="10" t="s">
        <v>217</v>
      </c>
      <c r="O100" s="10" t="s">
        <v>65</v>
      </c>
      <c r="P100" s="10" t="s">
        <v>66</v>
      </c>
      <c r="Q100" s="12" t="s">
        <v>885</v>
      </c>
      <c r="R100" s="10" t="s">
        <v>886</v>
      </c>
      <c r="S100" s="10" t="s">
        <v>69</v>
      </c>
      <c r="T100" s="13" t="s">
        <v>70</v>
      </c>
      <c r="U100" s="13"/>
      <c r="V100" s="14"/>
    </row>
    <row r="101" customFormat="false" ht="23.85" hidden="false" customHeight="false" outlineLevel="0" collapsed="false">
      <c r="A101" s="10" t="s">
        <v>887</v>
      </c>
      <c r="B101" s="10" t="s">
        <v>54</v>
      </c>
      <c r="C101" s="10" t="s">
        <v>862</v>
      </c>
      <c r="D101" s="10" t="s">
        <v>56</v>
      </c>
      <c r="E101" s="10" t="n">
        <v>2</v>
      </c>
      <c r="F101" s="11" t="s">
        <v>888</v>
      </c>
      <c r="G101" s="10" t="s">
        <v>889</v>
      </c>
      <c r="H101" s="10" t="s">
        <v>890</v>
      </c>
      <c r="I101" s="10" t="s">
        <v>497</v>
      </c>
      <c r="J101" s="10" t="s">
        <v>891</v>
      </c>
      <c r="K101" s="10" t="s">
        <v>62</v>
      </c>
      <c r="L101" s="11" t="s">
        <v>892</v>
      </c>
      <c r="M101" s="10" t="s">
        <v>64</v>
      </c>
      <c r="N101" s="10"/>
      <c r="O101" s="10" t="s">
        <v>65</v>
      </c>
      <c r="P101" s="10" t="s">
        <v>66</v>
      </c>
      <c r="Q101" s="12" t="s">
        <v>893</v>
      </c>
      <c r="R101" s="10" t="s">
        <v>894</v>
      </c>
      <c r="S101" s="10" t="s">
        <v>69</v>
      </c>
      <c r="T101" s="13" t="s">
        <v>70</v>
      </c>
      <c r="U101" s="13"/>
      <c r="V101" s="14"/>
    </row>
    <row r="102" customFormat="false" ht="23.85" hidden="false" customHeight="false" outlineLevel="0" collapsed="false">
      <c r="A102" s="10" t="s">
        <v>895</v>
      </c>
      <c r="B102" s="10" t="s">
        <v>54</v>
      </c>
      <c r="C102" s="10" t="s">
        <v>862</v>
      </c>
      <c r="D102" s="10" t="s">
        <v>56</v>
      </c>
      <c r="E102" s="10" t="n">
        <v>2</v>
      </c>
      <c r="F102" s="11" t="s">
        <v>896</v>
      </c>
      <c r="G102" s="10" t="s">
        <v>897</v>
      </c>
      <c r="H102" s="10" t="s">
        <v>129</v>
      </c>
      <c r="I102" s="10" t="s">
        <v>167</v>
      </c>
      <c r="J102" s="10" t="s">
        <v>132</v>
      </c>
      <c r="K102" s="10" t="s">
        <v>62</v>
      </c>
      <c r="L102" s="11" t="s">
        <v>898</v>
      </c>
      <c r="M102" s="10" t="s">
        <v>64</v>
      </c>
      <c r="N102" s="10"/>
      <c r="O102" s="10" t="s">
        <v>65</v>
      </c>
      <c r="P102" s="10" t="s">
        <v>66</v>
      </c>
      <c r="Q102" s="12" t="s">
        <v>899</v>
      </c>
      <c r="R102" s="10" t="s">
        <v>900</v>
      </c>
      <c r="S102" s="10" t="s">
        <v>69</v>
      </c>
      <c r="T102" s="13" t="s">
        <v>70</v>
      </c>
      <c r="U102" s="13"/>
      <c r="V102" s="14"/>
    </row>
    <row r="103" customFormat="false" ht="23.85" hidden="false" customHeight="false" outlineLevel="0" collapsed="false">
      <c r="A103" s="10" t="s">
        <v>901</v>
      </c>
      <c r="B103" s="10" t="s">
        <v>54</v>
      </c>
      <c r="C103" s="10" t="s">
        <v>862</v>
      </c>
      <c r="D103" s="10" t="s">
        <v>56</v>
      </c>
      <c r="E103" s="10" t="n">
        <v>2</v>
      </c>
      <c r="F103" s="11" t="s">
        <v>902</v>
      </c>
      <c r="G103" s="10" t="s">
        <v>903</v>
      </c>
      <c r="H103" s="10" t="s">
        <v>904</v>
      </c>
      <c r="I103" s="10" t="s">
        <v>625</v>
      </c>
      <c r="J103" s="10" t="s">
        <v>624</v>
      </c>
      <c r="K103" s="10" t="s">
        <v>62</v>
      </c>
      <c r="L103" s="11" t="s">
        <v>905</v>
      </c>
      <c r="M103" s="10" t="s">
        <v>64</v>
      </c>
      <c r="N103" s="10"/>
      <c r="O103" s="10" t="s">
        <v>65</v>
      </c>
      <c r="P103" s="10" t="s">
        <v>66</v>
      </c>
      <c r="Q103" s="12" t="s">
        <v>906</v>
      </c>
      <c r="R103" s="10" t="s">
        <v>907</v>
      </c>
      <c r="S103" s="10" t="s">
        <v>69</v>
      </c>
      <c r="T103" s="13" t="s">
        <v>70</v>
      </c>
      <c r="U103" s="13"/>
      <c r="V103" s="14"/>
    </row>
    <row r="104" customFormat="false" ht="23.85" hidden="false" customHeight="false" outlineLevel="0" collapsed="false">
      <c r="A104" s="10" t="s">
        <v>908</v>
      </c>
      <c r="B104" s="10" t="s">
        <v>54</v>
      </c>
      <c r="C104" s="10" t="s">
        <v>862</v>
      </c>
      <c r="D104" s="10" t="s">
        <v>213</v>
      </c>
      <c r="E104" s="10" t="n">
        <v>3</v>
      </c>
      <c r="F104" s="11" t="s">
        <v>909</v>
      </c>
      <c r="G104" s="10"/>
      <c r="H104" s="10"/>
      <c r="I104" s="10"/>
      <c r="J104" s="10"/>
      <c r="K104" s="10" t="s">
        <v>910</v>
      </c>
      <c r="L104" s="11" t="s">
        <v>911</v>
      </c>
      <c r="M104" s="10" t="s">
        <v>64</v>
      </c>
      <c r="N104" s="10"/>
      <c r="O104" s="10" t="s">
        <v>65</v>
      </c>
      <c r="P104" s="10" t="s">
        <v>66</v>
      </c>
      <c r="Q104" s="12" t="s">
        <v>912</v>
      </c>
      <c r="R104" s="10" t="s">
        <v>913</v>
      </c>
      <c r="S104" s="10" t="s">
        <v>69</v>
      </c>
      <c r="T104" s="13" t="s">
        <v>70</v>
      </c>
      <c r="U104" s="13"/>
      <c r="V104" s="14"/>
    </row>
    <row r="105" customFormat="false" ht="23.85" hidden="false" customHeight="false" outlineLevel="0" collapsed="false">
      <c r="A105" s="10" t="s">
        <v>914</v>
      </c>
      <c r="B105" s="10" t="s">
        <v>54</v>
      </c>
      <c r="C105" s="10" t="s">
        <v>862</v>
      </c>
      <c r="D105" s="10" t="s">
        <v>56</v>
      </c>
      <c r="E105" s="10" t="n">
        <v>3</v>
      </c>
      <c r="F105" s="11" t="s">
        <v>915</v>
      </c>
      <c r="G105" s="10" t="s">
        <v>916</v>
      </c>
      <c r="H105" s="10" t="s">
        <v>917</v>
      </c>
      <c r="I105" s="10" t="s">
        <v>918</v>
      </c>
      <c r="J105" s="10" t="s">
        <v>919</v>
      </c>
      <c r="K105" s="10" t="s">
        <v>62</v>
      </c>
      <c r="L105" s="11" t="s">
        <v>920</v>
      </c>
      <c r="M105" s="10" t="s">
        <v>64</v>
      </c>
      <c r="N105" s="10"/>
      <c r="O105" s="10" t="s">
        <v>65</v>
      </c>
      <c r="P105" s="10" t="s">
        <v>66</v>
      </c>
      <c r="Q105" s="12" t="s">
        <v>921</v>
      </c>
      <c r="R105" s="10" t="s">
        <v>922</v>
      </c>
      <c r="S105" s="10" t="s">
        <v>69</v>
      </c>
      <c r="T105" s="13" t="s">
        <v>70</v>
      </c>
      <c r="U105" s="13"/>
      <c r="V105" s="14"/>
    </row>
    <row r="106" customFormat="false" ht="23.85" hidden="false" customHeight="false" outlineLevel="0" collapsed="false">
      <c r="A106" s="10" t="s">
        <v>923</v>
      </c>
      <c r="B106" s="10" t="s">
        <v>54</v>
      </c>
      <c r="C106" s="10" t="s">
        <v>862</v>
      </c>
      <c r="D106" s="10" t="s">
        <v>56</v>
      </c>
      <c r="E106" s="10" t="n">
        <v>3</v>
      </c>
      <c r="F106" s="11" t="s">
        <v>924</v>
      </c>
      <c r="G106" s="10" t="s">
        <v>925</v>
      </c>
      <c r="H106" s="10" t="s">
        <v>916</v>
      </c>
      <c r="I106" s="10" t="s">
        <v>926</v>
      </c>
      <c r="J106" s="10" t="s">
        <v>927</v>
      </c>
      <c r="K106" s="10" t="s">
        <v>62</v>
      </c>
      <c r="L106" s="11" t="s">
        <v>928</v>
      </c>
      <c r="M106" s="10" t="s">
        <v>64</v>
      </c>
      <c r="N106" s="10"/>
      <c r="O106" s="10" t="s">
        <v>65</v>
      </c>
      <c r="P106" s="10" t="s">
        <v>66</v>
      </c>
      <c r="Q106" s="12" t="s">
        <v>929</v>
      </c>
      <c r="R106" s="10" t="s">
        <v>930</v>
      </c>
      <c r="S106" s="10" t="s">
        <v>69</v>
      </c>
      <c r="T106" s="13" t="s">
        <v>70</v>
      </c>
      <c r="U106" s="13"/>
      <c r="V106" s="14"/>
    </row>
    <row r="107" customFormat="false" ht="35.05" hidden="false" customHeight="false" outlineLevel="0" collapsed="false">
      <c r="A107" s="10" t="s">
        <v>931</v>
      </c>
      <c r="B107" s="10" t="s">
        <v>54</v>
      </c>
      <c r="C107" s="10" t="s">
        <v>862</v>
      </c>
      <c r="D107" s="10" t="s">
        <v>56</v>
      </c>
      <c r="E107" s="10" t="n">
        <v>3</v>
      </c>
      <c r="F107" s="11" t="s">
        <v>932</v>
      </c>
      <c r="G107" s="10" t="s">
        <v>933</v>
      </c>
      <c r="H107" s="10" t="s">
        <v>881</v>
      </c>
      <c r="I107" s="10" t="s">
        <v>934</v>
      </c>
      <c r="J107" s="10" t="s">
        <v>935</v>
      </c>
      <c r="K107" s="10" t="s">
        <v>62</v>
      </c>
      <c r="L107" s="11" t="s">
        <v>936</v>
      </c>
      <c r="M107" s="10" t="s">
        <v>64</v>
      </c>
      <c r="N107" s="10"/>
      <c r="O107" s="10" t="s">
        <v>65</v>
      </c>
      <c r="P107" s="10" t="s">
        <v>66</v>
      </c>
      <c r="Q107" s="12" t="s">
        <v>885</v>
      </c>
      <c r="R107" s="10" t="s">
        <v>886</v>
      </c>
      <c r="S107" s="10" t="s">
        <v>69</v>
      </c>
      <c r="T107" s="13" t="s">
        <v>70</v>
      </c>
      <c r="U107" s="13"/>
      <c r="V107" s="14" t="s">
        <v>937</v>
      </c>
    </row>
    <row r="108" customFormat="false" ht="46.25" hidden="false" customHeight="false" outlineLevel="0" collapsed="false">
      <c r="A108" s="10" t="s">
        <v>938</v>
      </c>
      <c r="B108" s="10" t="s">
        <v>54</v>
      </c>
      <c r="C108" s="10" t="s">
        <v>862</v>
      </c>
      <c r="D108" s="10" t="s">
        <v>56</v>
      </c>
      <c r="E108" s="10" t="n">
        <v>4</v>
      </c>
      <c r="F108" s="11" t="s">
        <v>939</v>
      </c>
      <c r="G108" s="10" t="s">
        <v>927</v>
      </c>
      <c r="H108" s="10" t="s">
        <v>926</v>
      </c>
      <c r="I108" s="10" t="s">
        <v>940</v>
      </c>
      <c r="J108" s="10" t="s">
        <v>925</v>
      </c>
      <c r="K108" s="10" t="s">
        <v>62</v>
      </c>
      <c r="L108" s="11" t="s">
        <v>941</v>
      </c>
      <c r="M108" s="10" t="s">
        <v>64</v>
      </c>
      <c r="N108" s="10"/>
      <c r="O108" s="10" t="s">
        <v>65</v>
      </c>
      <c r="P108" s="10" t="s">
        <v>66</v>
      </c>
      <c r="Q108" s="12" t="s">
        <v>942</v>
      </c>
      <c r="R108" s="10" t="s">
        <v>943</v>
      </c>
      <c r="S108" s="10" t="s">
        <v>69</v>
      </c>
      <c r="T108" s="13" t="s">
        <v>70</v>
      </c>
      <c r="U108" s="13"/>
      <c r="V108" s="14" t="s">
        <v>944</v>
      </c>
    </row>
    <row r="109" customFormat="false" ht="23.85" hidden="false" customHeight="false" outlineLevel="0" collapsed="false">
      <c r="A109" s="10" t="s">
        <v>945</v>
      </c>
      <c r="B109" s="10" t="s">
        <v>54</v>
      </c>
      <c r="C109" s="10" t="s">
        <v>862</v>
      </c>
      <c r="D109" s="10" t="s">
        <v>56</v>
      </c>
      <c r="E109" s="10" t="n">
        <v>4</v>
      </c>
      <c r="F109" s="11" t="s">
        <v>946</v>
      </c>
      <c r="G109" s="10" t="s">
        <v>187</v>
      </c>
      <c r="H109" s="10" t="s">
        <v>499</v>
      </c>
      <c r="I109" s="10" t="s">
        <v>947</v>
      </c>
      <c r="J109" s="10" t="s">
        <v>948</v>
      </c>
      <c r="K109" s="10" t="s">
        <v>62</v>
      </c>
      <c r="L109" s="11" t="s">
        <v>949</v>
      </c>
      <c r="M109" s="10" t="s">
        <v>64</v>
      </c>
      <c r="N109" s="10"/>
      <c r="O109" s="10" t="s">
        <v>65</v>
      </c>
      <c r="P109" s="10" t="s">
        <v>66</v>
      </c>
      <c r="Q109" s="12" t="s">
        <v>950</v>
      </c>
      <c r="R109" s="10" t="s">
        <v>951</v>
      </c>
      <c r="S109" s="10" t="s">
        <v>69</v>
      </c>
      <c r="T109" s="13" t="s">
        <v>70</v>
      </c>
      <c r="U109" s="13"/>
      <c r="V109" s="14"/>
    </row>
    <row r="110" customFormat="false" ht="23.85" hidden="false" customHeight="false" outlineLevel="0" collapsed="false">
      <c r="A110" s="10" t="s">
        <v>952</v>
      </c>
      <c r="B110" s="10" t="s">
        <v>54</v>
      </c>
      <c r="C110" s="10" t="s">
        <v>862</v>
      </c>
      <c r="D110" s="10" t="s">
        <v>56</v>
      </c>
      <c r="E110" s="10" t="n">
        <v>4</v>
      </c>
      <c r="F110" s="11" t="s">
        <v>953</v>
      </c>
      <c r="G110" s="10" t="s">
        <v>954</v>
      </c>
      <c r="H110" s="10" t="s">
        <v>955</v>
      </c>
      <c r="I110" s="10" t="s">
        <v>956</v>
      </c>
      <c r="J110" s="10" t="s">
        <v>293</v>
      </c>
      <c r="K110" s="10" t="s">
        <v>62</v>
      </c>
      <c r="L110" s="11" t="s">
        <v>957</v>
      </c>
      <c r="M110" s="10" t="s">
        <v>64</v>
      </c>
      <c r="N110" s="10"/>
      <c r="O110" s="10" t="s">
        <v>65</v>
      </c>
      <c r="P110" s="10" t="s">
        <v>66</v>
      </c>
      <c r="Q110" s="12" t="s">
        <v>958</v>
      </c>
      <c r="R110" s="10" t="s">
        <v>959</v>
      </c>
      <c r="S110" s="10" t="s">
        <v>69</v>
      </c>
      <c r="T110" s="13" t="s">
        <v>70</v>
      </c>
      <c r="U110" s="13"/>
      <c r="V110" s="14" t="s">
        <v>960</v>
      </c>
    </row>
    <row r="111" customFormat="false" ht="57.45" hidden="false" customHeight="false" outlineLevel="0" collapsed="false">
      <c r="A111" s="10" t="s">
        <v>961</v>
      </c>
      <c r="B111" s="10" t="s">
        <v>54</v>
      </c>
      <c r="C111" s="10" t="s">
        <v>862</v>
      </c>
      <c r="D111" s="10" t="s">
        <v>56</v>
      </c>
      <c r="E111" s="10" t="n">
        <v>5</v>
      </c>
      <c r="F111" s="11" t="s">
        <v>962</v>
      </c>
      <c r="G111" s="10" t="s">
        <v>935</v>
      </c>
      <c r="H111" s="10" t="s">
        <v>963</v>
      </c>
      <c r="I111" s="10" t="s">
        <v>933</v>
      </c>
      <c r="J111" s="10" t="s">
        <v>881</v>
      </c>
      <c r="K111" s="10" t="s">
        <v>62</v>
      </c>
      <c r="L111" s="11" t="s">
        <v>964</v>
      </c>
      <c r="M111" s="10" t="s">
        <v>64</v>
      </c>
      <c r="N111" s="10"/>
      <c r="O111" s="10" t="s">
        <v>65</v>
      </c>
      <c r="P111" s="10" t="s">
        <v>66</v>
      </c>
      <c r="Q111" s="12" t="s">
        <v>965</v>
      </c>
      <c r="R111" s="10" t="s">
        <v>966</v>
      </c>
      <c r="S111" s="10" t="s">
        <v>69</v>
      </c>
      <c r="T111" s="13" t="s">
        <v>70</v>
      </c>
      <c r="U111" s="13"/>
      <c r="V111" s="14" t="s">
        <v>967</v>
      </c>
    </row>
    <row r="112" customFormat="false" ht="23.85" hidden="false" customHeight="false" outlineLevel="0" collapsed="false">
      <c r="A112" s="10" t="s">
        <v>968</v>
      </c>
      <c r="B112" s="10" t="s">
        <v>54</v>
      </c>
      <c r="C112" s="10" t="s">
        <v>969</v>
      </c>
      <c r="D112" s="10" t="s">
        <v>56</v>
      </c>
      <c r="E112" s="10" t="n">
        <v>1</v>
      </c>
      <c r="F112" s="11" t="s">
        <v>970</v>
      </c>
      <c r="G112" s="10" t="s">
        <v>60</v>
      </c>
      <c r="H112" s="10" t="s">
        <v>59</v>
      </c>
      <c r="I112" s="10" t="s">
        <v>971</v>
      </c>
      <c r="J112" s="10" t="s">
        <v>972</v>
      </c>
      <c r="K112" s="10" t="s">
        <v>62</v>
      </c>
      <c r="L112" s="11" t="s">
        <v>973</v>
      </c>
      <c r="M112" s="10" t="s">
        <v>64</v>
      </c>
      <c r="N112" s="10"/>
      <c r="O112" s="10" t="s">
        <v>65</v>
      </c>
      <c r="P112" s="10" t="s">
        <v>66</v>
      </c>
      <c r="Q112" s="12" t="s">
        <v>974</v>
      </c>
      <c r="R112" s="10" t="s">
        <v>975</v>
      </c>
      <c r="S112" s="10" t="s">
        <v>69</v>
      </c>
      <c r="T112" s="13" t="s">
        <v>70</v>
      </c>
      <c r="U112" s="13"/>
      <c r="V112" s="14"/>
    </row>
    <row r="113" customFormat="false" ht="23.85" hidden="false" customHeight="false" outlineLevel="0" collapsed="false">
      <c r="A113" s="10" t="s">
        <v>976</v>
      </c>
      <c r="B113" s="10" t="s">
        <v>54</v>
      </c>
      <c r="C113" s="10" t="s">
        <v>969</v>
      </c>
      <c r="D113" s="10" t="s">
        <v>56</v>
      </c>
      <c r="E113" s="10" t="n">
        <v>2</v>
      </c>
      <c r="F113" s="11" t="s">
        <v>977</v>
      </c>
      <c r="G113" s="10" t="s">
        <v>251</v>
      </c>
      <c r="H113" s="10" t="s">
        <v>978</v>
      </c>
      <c r="I113" s="10" t="s">
        <v>979</v>
      </c>
      <c r="J113" s="10" t="s">
        <v>980</v>
      </c>
      <c r="K113" s="10" t="s">
        <v>62</v>
      </c>
      <c r="L113" s="11" t="s">
        <v>981</v>
      </c>
      <c r="M113" s="10" t="s">
        <v>64</v>
      </c>
      <c r="N113" s="10"/>
      <c r="O113" s="10" t="s">
        <v>65</v>
      </c>
      <c r="P113" s="10" t="s">
        <v>66</v>
      </c>
      <c r="Q113" s="12" t="s">
        <v>982</v>
      </c>
      <c r="R113" s="10" t="s">
        <v>983</v>
      </c>
      <c r="S113" s="10" t="s">
        <v>69</v>
      </c>
      <c r="T113" s="13" t="s">
        <v>70</v>
      </c>
      <c r="U113" s="13"/>
      <c r="V113" s="14"/>
    </row>
    <row r="114" customFormat="false" ht="23.85" hidden="false" customHeight="false" outlineLevel="0" collapsed="false">
      <c r="A114" s="10" t="s">
        <v>984</v>
      </c>
      <c r="B114" s="10" t="s">
        <v>54</v>
      </c>
      <c r="C114" s="10" t="s">
        <v>969</v>
      </c>
      <c r="D114" s="10" t="s">
        <v>56</v>
      </c>
      <c r="E114" s="10" t="n">
        <v>2</v>
      </c>
      <c r="F114" s="11" t="s">
        <v>985</v>
      </c>
      <c r="G114" s="10" t="s">
        <v>986</v>
      </c>
      <c r="H114" s="10" t="s">
        <v>987</v>
      </c>
      <c r="I114" s="10" t="s">
        <v>988</v>
      </c>
      <c r="J114" s="10" t="s">
        <v>989</v>
      </c>
      <c r="K114" s="10" t="s">
        <v>62</v>
      </c>
      <c r="L114" s="11" t="s">
        <v>990</v>
      </c>
      <c r="M114" s="10" t="s">
        <v>64</v>
      </c>
      <c r="N114" s="10"/>
      <c r="O114" s="10" t="s">
        <v>65</v>
      </c>
      <c r="P114" s="10" t="s">
        <v>66</v>
      </c>
      <c r="Q114" s="12" t="s">
        <v>991</v>
      </c>
      <c r="R114" s="10" t="s">
        <v>992</v>
      </c>
      <c r="S114" s="10" t="s">
        <v>69</v>
      </c>
      <c r="T114" s="13" t="s">
        <v>70</v>
      </c>
      <c r="U114" s="13"/>
      <c r="V114" s="14"/>
    </row>
    <row r="115" customFormat="false" ht="23.85" hidden="false" customHeight="false" outlineLevel="0" collapsed="false">
      <c r="A115" s="10" t="s">
        <v>993</v>
      </c>
      <c r="B115" s="10" t="s">
        <v>54</v>
      </c>
      <c r="C115" s="10" t="s">
        <v>969</v>
      </c>
      <c r="D115" s="10" t="s">
        <v>213</v>
      </c>
      <c r="E115" s="10" t="n">
        <v>3</v>
      </c>
      <c r="F115" s="11" t="s">
        <v>994</v>
      </c>
      <c r="G115" s="10"/>
      <c r="H115" s="10"/>
      <c r="I115" s="10"/>
      <c r="J115" s="10"/>
      <c r="K115" s="10" t="s">
        <v>995</v>
      </c>
      <c r="L115" s="11" t="s">
        <v>996</v>
      </c>
      <c r="M115" s="10" t="s">
        <v>64</v>
      </c>
      <c r="N115" s="10"/>
      <c r="O115" s="10" t="s">
        <v>65</v>
      </c>
      <c r="P115" s="10" t="s">
        <v>66</v>
      </c>
      <c r="Q115" s="12" t="s">
        <v>997</v>
      </c>
      <c r="R115" s="10" t="s">
        <v>998</v>
      </c>
      <c r="S115" s="10" t="s">
        <v>69</v>
      </c>
      <c r="T115" s="13" t="s">
        <v>70</v>
      </c>
      <c r="U115" s="13"/>
      <c r="V115" s="14"/>
    </row>
    <row r="116" customFormat="false" ht="35.05" hidden="false" customHeight="false" outlineLevel="0" collapsed="false">
      <c r="A116" s="10" t="s">
        <v>999</v>
      </c>
      <c r="B116" s="10" t="s">
        <v>54</v>
      </c>
      <c r="C116" s="10" t="s">
        <v>969</v>
      </c>
      <c r="D116" s="10" t="s">
        <v>213</v>
      </c>
      <c r="E116" s="10" t="n">
        <v>3</v>
      </c>
      <c r="F116" s="11" t="s">
        <v>1000</v>
      </c>
      <c r="G116" s="10"/>
      <c r="H116" s="10"/>
      <c r="I116" s="10"/>
      <c r="J116" s="10"/>
      <c r="K116" s="10" t="s">
        <v>1001</v>
      </c>
      <c r="L116" s="11" t="s">
        <v>1002</v>
      </c>
      <c r="M116" s="10" t="s">
        <v>64</v>
      </c>
      <c r="N116" s="10"/>
      <c r="O116" s="10" t="s">
        <v>65</v>
      </c>
      <c r="P116" s="10" t="s">
        <v>66</v>
      </c>
      <c r="Q116" s="12" t="s">
        <v>1003</v>
      </c>
      <c r="R116" s="10" t="s">
        <v>1004</v>
      </c>
      <c r="S116" s="10" t="s">
        <v>69</v>
      </c>
      <c r="T116" s="13" t="s">
        <v>70</v>
      </c>
      <c r="U116" s="13"/>
      <c r="V116" s="14"/>
    </row>
    <row r="117" customFormat="false" ht="23.85" hidden="false" customHeight="false" outlineLevel="0" collapsed="false">
      <c r="A117" s="10" t="s">
        <v>1005</v>
      </c>
      <c r="B117" s="10" t="s">
        <v>54</v>
      </c>
      <c r="C117" s="10" t="s">
        <v>969</v>
      </c>
      <c r="D117" s="10" t="s">
        <v>56</v>
      </c>
      <c r="E117" s="10" t="n">
        <v>3</v>
      </c>
      <c r="F117" s="11" t="s">
        <v>1006</v>
      </c>
      <c r="G117" s="10" t="s">
        <v>137</v>
      </c>
      <c r="H117" s="10" t="s">
        <v>499</v>
      </c>
      <c r="I117" s="10" t="s">
        <v>1007</v>
      </c>
      <c r="J117" s="10" t="s">
        <v>192</v>
      </c>
      <c r="K117" s="10" t="s">
        <v>62</v>
      </c>
      <c r="L117" s="11" t="s">
        <v>1008</v>
      </c>
      <c r="M117" s="10" t="s">
        <v>64</v>
      </c>
      <c r="N117" s="10"/>
      <c r="O117" s="10" t="s">
        <v>65</v>
      </c>
      <c r="P117" s="10" t="s">
        <v>66</v>
      </c>
      <c r="Q117" s="12" t="s">
        <v>1009</v>
      </c>
      <c r="R117" s="10" t="s">
        <v>1010</v>
      </c>
      <c r="S117" s="10" t="s">
        <v>69</v>
      </c>
      <c r="T117" s="13" t="s">
        <v>70</v>
      </c>
      <c r="U117" s="13"/>
      <c r="V117" s="14"/>
    </row>
    <row r="118" customFormat="false" ht="23.85" hidden="false" customHeight="false" outlineLevel="0" collapsed="false">
      <c r="A118" s="10" t="s">
        <v>1011</v>
      </c>
      <c r="B118" s="10" t="s">
        <v>54</v>
      </c>
      <c r="C118" s="10" t="s">
        <v>969</v>
      </c>
      <c r="D118" s="10" t="s">
        <v>56</v>
      </c>
      <c r="E118" s="10" t="n">
        <v>3</v>
      </c>
      <c r="F118" s="11" t="s">
        <v>1012</v>
      </c>
      <c r="G118" s="10" t="s">
        <v>1013</v>
      </c>
      <c r="H118" s="10" t="s">
        <v>525</v>
      </c>
      <c r="I118" s="10" t="s">
        <v>1014</v>
      </c>
      <c r="J118" s="10" t="s">
        <v>187</v>
      </c>
      <c r="K118" s="10" t="s">
        <v>62</v>
      </c>
      <c r="L118" s="11" t="s">
        <v>1015</v>
      </c>
      <c r="M118" s="10" t="s">
        <v>64</v>
      </c>
      <c r="N118" s="10"/>
      <c r="O118" s="10" t="s">
        <v>65</v>
      </c>
      <c r="P118" s="10" t="s">
        <v>66</v>
      </c>
      <c r="Q118" s="12" t="s">
        <v>1016</v>
      </c>
      <c r="R118" s="10" t="s">
        <v>1017</v>
      </c>
      <c r="S118" s="10" t="s">
        <v>69</v>
      </c>
      <c r="T118" s="13" t="s">
        <v>70</v>
      </c>
      <c r="U118" s="13"/>
      <c r="V118" s="14"/>
    </row>
    <row r="119" customFormat="false" ht="23.85" hidden="false" customHeight="false" outlineLevel="0" collapsed="false">
      <c r="A119" s="10" t="s">
        <v>1018</v>
      </c>
      <c r="B119" s="10" t="s">
        <v>54</v>
      </c>
      <c r="C119" s="10" t="s">
        <v>969</v>
      </c>
      <c r="D119" s="10" t="s">
        <v>56</v>
      </c>
      <c r="E119" s="10" t="n">
        <v>3</v>
      </c>
      <c r="F119" s="11" t="s">
        <v>1019</v>
      </c>
      <c r="G119" s="10" t="s">
        <v>1020</v>
      </c>
      <c r="H119" s="10" t="s">
        <v>995</v>
      </c>
      <c r="I119" s="10" t="s">
        <v>1021</v>
      </c>
      <c r="J119" s="10" t="s">
        <v>1022</v>
      </c>
      <c r="K119" s="10" t="s">
        <v>62</v>
      </c>
      <c r="L119" s="11" t="s">
        <v>1023</v>
      </c>
      <c r="M119" s="10" t="s">
        <v>64</v>
      </c>
      <c r="N119" s="10"/>
      <c r="O119" s="10" t="s">
        <v>65</v>
      </c>
      <c r="P119" s="10" t="s">
        <v>66</v>
      </c>
      <c r="Q119" s="12" t="s">
        <v>1024</v>
      </c>
      <c r="R119" s="10" t="s">
        <v>1025</v>
      </c>
      <c r="S119" s="10" t="s">
        <v>69</v>
      </c>
      <c r="T119" s="13" t="s">
        <v>70</v>
      </c>
      <c r="U119" s="13"/>
      <c r="V119" s="14"/>
    </row>
    <row r="120" customFormat="false" ht="23.85" hidden="false" customHeight="false" outlineLevel="0" collapsed="false">
      <c r="A120" s="10" t="s">
        <v>1026</v>
      </c>
      <c r="B120" s="10" t="s">
        <v>54</v>
      </c>
      <c r="C120" s="10" t="s">
        <v>969</v>
      </c>
      <c r="D120" s="10" t="s">
        <v>56</v>
      </c>
      <c r="E120" s="10" t="n">
        <v>4</v>
      </c>
      <c r="F120" s="11" t="s">
        <v>1027</v>
      </c>
      <c r="G120" s="10" t="s">
        <v>1028</v>
      </c>
      <c r="H120" s="10" t="s">
        <v>279</v>
      </c>
      <c r="I120" s="10" t="s">
        <v>187</v>
      </c>
      <c r="J120" s="10" t="s">
        <v>1029</v>
      </c>
      <c r="K120" s="10" t="s">
        <v>62</v>
      </c>
      <c r="L120" s="11" t="s">
        <v>1030</v>
      </c>
      <c r="M120" s="10" t="s">
        <v>64</v>
      </c>
      <c r="N120" s="10"/>
      <c r="O120" s="10" t="s">
        <v>65</v>
      </c>
      <c r="P120" s="10" t="s">
        <v>66</v>
      </c>
      <c r="Q120" s="12" t="s">
        <v>1031</v>
      </c>
      <c r="R120" s="10" t="s">
        <v>1032</v>
      </c>
      <c r="S120" s="10" t="s">
        <v>69</v>
      </c>
      <c r="T120" s="13" t="s">
        <v>70</v>
      </c>
      <c r="U120" s="13"/>
      <c r="V120" s="14"/>
    </row>
    <row r="121" customFormat="false" ht="23.85" hidden="false" customHeight="false" outlineLevel="0" collapsed="false">
      <c r="A121" s="10" t="s">
        <v>1033</v>
      </c>
      <c r="B121" s="10" t="s">
        <v>54</v>
      </c>
      <c r="C121" s="10" t="s">
        <v>969</v>
      </c>
      <c r="D121" s="10" t="s">
        <v>56</v>
      </c>
      <c r="E121" s="10" t="n">
        <v>5</v>
      </c>
      <c r="F121" s="11" t="s">
        <v>1034</v>
      </c>
      <c r="G121" s="10" t="s">
        <v>1035</v>
      </c>
      <c r="H121" s="10" t="s">
        <v>1036</v>
      </c>
      <c r="I121" s="10" t="s">
        <v>1037</v>
      </c>
      <c r="J121" s="10" t="s">
        <v>1038</v>
      </c>
      <c r="K121" s="10" t="s">
        <v>62</v>
      </c>
      <c r="L121" s="11" t="s">
        <v>1039</v>
      </c>
      <c r="M121" s="10" t="s">
        <v>64</v>
      </c>
      <c r="N121" s="10"/>
      <c r="O121" s="10" t="s">
        <v>65</v>
      </c>
      <c r="P121" s="10" t="s">
        <v>66</v>
      </c>
      <c r="Q121" s="12" t="s">
        <v>1040</v>
      </c>
      <c r="R121" s="10" t="s">
        <v>1041</v>
      </c>
      <c r="S121" s="10" t="s">
        <v>69</v>
      </c>
      <c r="T121" s="13" t="s">
        <v>70</v>
      </c>
      <c r="U121" s="13"/>
      <c r="V121" s="14"/>
    </row>
    <row r="122" customFormat="false" ht="23.85" hidden="false" customHeight="false" outlineLevel="0" collapsed="false">
      <c r="A122" s="10" t="s">
        <v>1042</v>
      </c>
      <c r="B122" s="10" t="s">
        <v>54</v>
      </c>
      <c r="C122" s="10" t="s">
        <v>969</v>
      </c>
      <c r="D122" s="10" t="s">
        <v>56</v>
      </c>
      <c r="E122" s="10" t="n">
        <v>5</v>
      </c>
      <c r="F122" s="11" t="s">
        <v>1043</v>
      </c>
      <c r="G122" s="10" t="s">
        <v>1044</v>
      </c>
      <c r="H122" s="10" t="s">
        <v>244</v>
      </c>
      <c r="I122" s="10" t="s">
        <v>1045</v>
      </c>
      <c r="J122" s="10" t="s">
        <v>300</v>
      </c>
      <c r="K122" s="10" t="s">
        <v>62</v>
      </c>
      <c r="L122" s="11" t="s">
        <v>1046</v>
      </c>
      <c r="M122" s="10" t="s">
        <v>64</v>
      </c>
      <c r="N122" s="10"/>
      <c r="O122" s="10" t="s">
        <v>65</v>
      </c>
      <c r="P122" s="10" t="s">
        <v>66</v>
      </c>
      <c r="Q122" s="12" t="s">
        <v>1024</v>
      </c>
      <c r="R122" s="10" t="s">
        <v>1025</v>
      </c>
      <c r="S122" s="10" t="s">
        <v>69</v>
      </c>
      <c r="T122" s="13" t="s">
        <v>70</v>
      </c>
      <c r="U122" s="13"/>
      <c r="V122" s="14"/>
    </row>
    <row r="123" customFormat="false" ht="23.85" hidden="false" customHeight="false" outlineLevel="0" collapsed="false">
      <c r="A123" s="10" t="s">
        <v>1047</v>
      </c>
      <c r="B123" s="10" t="s">
        <v>54</v>
      </c>
      <c r="C123" s="10" t="s">
        <v>969</v>
      </c>
      <c r="D123" s="10" t="s">
        <v>56</v>
      </c>
      <c r="E123" s="10" t="n">
        <v>5</v>
      </c>
      <c r="F123" s="11" t="s">
        <v>1048</v>
      </c>
      <c r="G123" s="10" t="s">
        <v>1049</v>
      </c>
      <c r="H123" s="10" t="s">
        <v>1050</v>
      </c>
      <c r="I123" s="10" t="s">
        <v>1051</v>
      </c>
      <c r="J123" s="10" t="s">
        <v>1052</v>
      </c>
      <c r="K123" s="10" t="s">
        <v>62</v>
      </c>
      <c r="L123" s="11" t="s">
        <v>1053</v>
      </c>
      <c r="M123" s="10" t="s">
        <v>64</v>
      </c>
      <c r="N123" s="10"/>
      <c r="O123" s="10" t="s">
        <v>65</v>
      </c>
      <c r="P123" s="10" t="s">
        <v>66</v>
      </c>
      <c r="Q123" s="12" t="s">
        <v>1054</v>
      </c>
      <c r="R123" s="10" t="s">
        <v>1055</v>
      </c>
      <c r="S123" s="10" t="s">
        <v>69</v>
      </c>
      <c r="T123" s="13" t="s">
        <v>70</v>
      </c>
      <c r="U123" s="13"/>
      <c r="V123" s="14"/>
    </row>
    <row r="124" customFormat="false" ht="23.85" hidden="false" customHeight="false" outlineLevel="0" collapsed="false">
      <c r="A124" s="10" t="s">
        <v>1056</v>
      </c>
      <c r="B124" s="10" t="s">
        <v>54</v>
      </c>
      <c r="C124" s="10" t="s">
        <v>1057</v>
      </c>
      <c r="D124" s="10" t="s">
        <v>56</v>
      </c>
      <c r="E124" s="10" t="n">
        <v>1</v>
      </c>
      <c r="F124" s="11" t="s">
        <v>1058</v>
      </c>
      <c r="G124" s="10" t="s">
        <v>186</v>
      </c>
      <c r="H124" s="10" t="s">
        <v>187</v>
      </c>
      <c r="I124" s="10" t="s">
        <v>1059</v>
      </c>
      <c r="J124" s="10" t="s">
        <v>279</v>
      </c>
      <c r="K124" s="10" t="s">
        <v>62</v>
      </c>
      <c r="L124" s="11" t="s">
        <v>1060</v>
      </c>
      <c r="M124" s="10" t="s">
        <v>64</v>
      </c>
      <c r="N124" s="10"/>
      <c r="O124" s="10" t="s">
        <v>65</v>
      </c>
      <c r="P124" s="10" t="s">
        <v>66</v>
      </c>
      <c r="Q124" s="12" t="s">
        <v>1061</v>
      </c>
      <c r="R124" s="10" t="s">
        <v>1062</v>
      </c>
      <c r="S124" s="10" t="s">
        <v>69</v>
      </c>
      <c r="T124" s="13" t="s">
        <v>70</v>
      </c>
      <c r="U124" s="13"/>
      <c r="V124" s="14"/>
    </row>
    <row r="125" customFormat="false" ht="23.85" hidden="false" customHeight="false" outlineLevel="0" collapsed="false">
      <c r="A125" s="10" t="s">
        <v>1063</v>
      </c>
      <c r="B125" s="10" t="s">
        <v>54</v>
      </c>
      <c r="C125" s="10" t="s">
        <v>1057</v>
      </c>
      <c r="D125" s="10" t="s">
        <v>56</v>
      </c>
      <c r="E125" s="10" t="n">
        <v>2</v>
      </c>
      <c r="F125" s="11" t="s">
        <v>1064</v>
      </c>
      <c r="G125" s="10" t="s">
        <v>187</v>
      </c>
      <c r="H125" s="10" t="s">
        <v>1059</v>
      </c>
      <c r="I125" s="10" t="s">
        <v>279</v>
      </c>
      <c r="J125" s="10" t="s">
        <v>1065</v>
      </c>
      <c r="K125" s="10" t="s">
        <v>62</v>
      </c>
      <c r="L125" s="11" t="s">
        <v>1066</v>
      </c>
      <c r="M125" s="10" t="s">
        <v>64</v>
      </c>
      <c r="N125" s="10"/>
      <c r="O125" s="10" t="s">
        <v>65</v>
      </c>
      <c r="P125" s="10" t="s">
        <v>66</v>
      </c>
      <c r="Q125" s="12" t="s">
        <v>1067</v>
      </c>
      <c r="R125" s="10" t="s">
        <v>1068</v>
      </c>
      <c r="S125" s="10" t="s">
        <v>69</v>
      </c>
      <c r="T125" s="13" t="s">
        <v>70</v>
      </c>
      <c r="U125" s="13"/>
      <c r="V125" s="14"/>
    </row>
    <row r="126" customFormat="false" ht="35.05" hidden="false" customHeight="false" outlineLevel="0" collapsed="false">
      <c r="A126" s="10" t="s">
        <v>1069</v>
      </c>
      <c r="B126" s="10" t="s">
        <v>54</v>
      </c>
      <c r="C126" s="10" t="s">
        <v>1057</v>
      </c>
      <c r="D126" s="10" t="s">
        <v>56</v>
      </c>
      <c r="E126" s="10" t="n">
        <v>3</v>
      </c>
      <c r="F126" s="11" t="s">
        <v>1070</v>
      </c>
      <c r="G126" s="10" t="s">
        <v>756</v>
      </c>
      <c r="H126" s="10" t="s">
        <v>111</v>
      </c>
      <c r="I126" s="10" t="s">
        <v>300</v>
      </c>
      <c r="J126" s="10" t="s">
        <v>244</v>
      </c>
      <c r="K126" s="10" t="s">
        <v>62</v>
      </c>
      <c r="L126" s="11" t="s">
        <v>1071</v>
      </c>
      <c r="M126" s="10" t="s">
        <v>64</v>
      </c>
      <c r="N126" s="10"/>
      <c r="O126" s="10" t="s">
        <v>65</v>
      </c>
      <c r="P126" s="10" t="s">
        <v>66</v>
      </c>
      <c r="Q126" s="12" t="s">
        <v>1072</v>
      </c>
      <c r="R126" s="10" t="s">
        <v>1073</v>
      </c>
      <c r="S126" s="10" t="s">
        <v>69</v>
      </c>
      <c r="T126" s="13" t="s">
        <v>70</v>
      </c>
      <c r="U126" s="13"/>
      <c r="V126" s="14" t="s">
        <v>1074</v>
      </c>
    </row>
    <row r="127" customFormat="false" ht="23.85" hidden="false" customHeight="false" outlineLevel="0" collapsed="false">
      <c r="A127" s="10" t="s">
        <v>1075</v>
      </c>
      <c r="B127" s="10" t="s">
        <v>54</v>
      </c>
      <c r="C127" s="10" t="s">
        <v>1057</v>
      </c>
      <c r="D127" s="10" t="s">
        <v>56</v>
      </c>
      <c r="E127" s="10" t="n">
        <v>4</v>
      </c>
      <c r="F127" s="11" t="s">
        <v>1076</v>
      </c>
      <c r="G127" s="10" t="s">
        <v>1077</v>
      </c>
      <c r="H127" s="10" t="s">
        <v>84</v>
      </c>
      <c r="I127" s="10" t="s">
        <v>1078</v>
      </c>
      <c r="J127" s="10" t="s">
        <v>274</v>
      </c>
      <c r="K127" s="10" t="s">
        <v>62</v>
      </c>
      <c r="L127" s="11" t="s">
        <v>1079</v>
      </c>
      <c r="M127" s="10" t="s">
        <v>64</v>
      </c>
      <c r="N127" s="10"/>
      <c r="O127" s="10" t="s">
        <v>65</v>
      </c>
      <c r="P127" s="10" t="s">
        <v>66</v>
      </c>
      <c r="Q127" s="12" t="s">
        <v>1072</v>
      </c>
      <c r="R127" s="10" t="s">
        <v>1073</v>
      </c>
      <c r="S127" s="10" t="s">
        <v>69</v>
      </c>
      <c r="T127" s="13" t="s">
        <v>70</v>
      </c>
      <c r="U127" s="13"/>
      <c r="V127" s="14"/>
    </row>
    <row r="128" customFormat="false" ht="23.85" hidden="false" customHeight="false" outlineLevel="0" collapsed="false">
      <c r="A128" s="10" t="s">
        <v>1080</v>
      </c>
      <c r="B128" s="10" t="s">
        <v>54</v>
      </c>
      <c r="C128" s="10" t="s">
        <v>1057</v>
      </c>
      <c r="D128" s="10" t="s">
        <v>56</v>
      </c>
      <c r="E128" s="10" t="n">
        <v>4</v>
      </c>
      <c r="F128" s="11" t="s">
        <v>1081</v>
      </c>
      <c r="G128" s="10" t="s">
        <v>1082</v>
      </c>
      <c r="H128" s="10" t="s">
        <v>1083</v>
      </c>
      <c r="I128" s="10" t="s">
        <v>1084</v>
      </c>
      <c r="J128" s="10" t="s">
        <v>1085</v>
      </c>
      <c r="K128" s="10" t="s">
        <v>62</v>
      </c>
      <c r="L128" s="11" t="s">
        <v>1086</v>
      </c>
      <c r="M128" s="10" t="s">
        <v>64</v>
      </c>
      <c r="N128" s="10"/>
      <c r="O128" s="10" t="s">
        <v>65</v>
      </c>
      <c r="P128" s="10" t="s">
        <v>66</v>
      </c>
      <c r="Q128" s="12" t="s">
        <v>1087</v>
      </c>
      <c r="R128" s="10" t="s">
        <v>1088</v>
      </c>
      <c r="S128" s="10" t="s">
        <v>69</v>
      </c>
      <c r="T128" s="13" t="s">
        <v>70</v>
      </c>
      <c r="U128" s="13"/>
      <c r="V128" s="14"/>
    </row>
    <row r="129" customFormat="false" ht="23.85" hidden="false" customHeight="false" outlineLevel="0" collapsed="false">
      <c r="A129" s="10" t="s">
        <v>1089</v>
      </c>
      <c r="B129" s="10" t="s">
        <v>54</v>
      </c>
      <c r="C129" s="10" t="s">
        <v>1057</v>
      </c>
      <c r="D129" s="10" t="s">
        <v>56</v>
      </c>
      <c r="E129" s="10" t="n">
        <v>5</v>
      </c>
      <c r="F129" s="11" t="s">
        <v>1090</v>
      </c>
      <c r="G129" s="10" t="s">
        <v>1091</v>
      </c>
      <c r="H129" s="10" t="s">
        <v>1092</v>
      </c>
      <c r="I129" s="10" t="s">
        <v>1093</v>
      </c>
      <c r="J129" s="10" t="s">
        <v>1094</v>
      </c>
      <c r="K129" s="10" t="s">
        <v>62</v>
      </c>
      <c r="L129" s="11" t="s">
        <v>1095</v>
      </c>
      <c r="M129" s="10" t="s">
        <v>64</v>
      </c>
      <c r="N129" s="10"/>
      <c r="O129" s="10" t="s">
        <v>65</v>
      </c>
      <c r="P129" s="10" t="s">
        <v>66</v>
      </c>
      <c r="Q129" s="12" t="s">
        <v>1061</v>
      </c>
      <c r="R129" s="10" t="s">
        <v>1062</v>
      </c>
      <c r="S129" s="10" t="s">
        <v>69</v>
      </c>
      <c r="T129" s="13" t="s">
        <v>70</v>
      </c>
      <c r="U129" s="13"/>
      <c r="V129" s="14"/>
    </row>
    <row r="130" customFormat="false" ht="23.85" hidden="false" customHeight="false" outlineLevel="0" collapsed="false">
      <c r="A130" s="10" t="s">
        <v>1096</v>
      </c>
      <c r="B130" s="10" t="s">
        <v>54</v>
      </c>
      <c r="C130" s="10" t="s">
        <v>1097</v>
      </c>
      <c r="D130" s="10" t="s">
        <v>56</v>
      </c>
      <c r="E130" s="10" t="n">
        <v>1</v>
      </c>
      <c r="F130" s="11" t="s">
        <v>1098</v>
      </c>
      <c r="G130" s="10" t="s">
        <v>1099</v>
      </c>
      <c r="H130" s="10" t="s">
        <v>1100</v>
      </c>
      <c r="I130" s="10" t="s">
        <v>1101</v>
      </c>
      <c r="J130" s="10" t="s">
        <v>1102</v>
      </c>
      <c r="K130" s="10" t="s">
        <v>62</v>
      </c>
      <c r="L130" s="11" t="s">
        <v>1103</v>
      </c>
      <c r="M130" s="10" t="s">
        <v>64</v>
      </c>
      <c r="N130" s="10"/>
      <c r="O130" s="10" t="s">
        <v>427</v>
      </c>
      <c r="P130" s="10" t="s">
        <v>66</v>
      </c>
      <c r="Q130" s="12" t="s">
        <v>1104</v>
      </c>
      <c r="R130" s="10" t="s">
        <v>1105</v>
      </c>
      <c r="S130" s="10" t="s">
        <v>69</v>
      </c>
      <c r="T130" s="13" t="s">
        <v>70</v>
      </c>
      <c r="U130" s="13"/>
      <c r="V130" s="14"/>
    </row>
    <row r="131" customFormat="false" ht="23.85" hidden="false" customHeight="false" outlineLevel="0" collapsed="false">
      <c r="A131" s="10" t="s">
        <v>1106</v>
      </c>
      <c r="B131" s="10" t="s">
        <v>54</v>
      </c>
      <c r="C131" s="10" t="s">
        <v>1107</v>
      </c>
      <c r="D131" s="10" t="s">
        <v>56</v>
      </c>
      <c r="E131" s="10" t="n">
        <v>1</v>
      </c>
      <c r="F131" s="11" t="s">
        <v>1108</v>
      </c>
      <c r="G131" s="10" t="s">
        <v>643</v>
      </c>
      <c r="H131" s="10" t="s">
        <v>644</v>
      </c>
      <c r="I131" s="10" t="s">
        <v>645</v>
      </c>
      <c r="J131" s="10" t="s">
        <v>693</v>
      </c>
      <c r="K131" s="10" t="s">
        <v>62</v>
      </c>
      <c r="L131" s="11" t="s">
        <v>1109</v>
      </c>
      <c r="M131" s="10" t="s">
        <v>64</v>
      </c>
      <c r="N131" s="10"/>
      <c r="O131" s="10" t="s">
        <v>331</v>
      </c>
      <c r="P131" s="10" t="s">
        <v>66</v>
      </c>
      <c r="Q131" s="12" t="s">
        <v>1110</v>
      </c>
      <c r="R131" s="10" t="s">
        <v>1111</v>
      </c>
      <c r="S131" s="10" t="s">
        <v>69</v>
      </c>
      <c r="T131" s="13" t="s">
        <v>70</v>
      </c>
      <c r="U131" s="13"/>
      <c r="V131" s="14"/>
    </row>
    <row r="132" customFormat="false" ht="23.85" hidden="false" customHeight="false" outlineLevel="0" collapsed="false">
      <c r="A132" s="10" t="s">
        <v>1112</v>
      </c>
      <c r="B132" s="10" t="s">
        <v>54</v>
      </c>
      <c r="C132" s="10" t="s">
        <v>1107</v>
      </c>
      <c r="D132" s="10" t="s">
        <v>56</v>
      </c>
      <c r="E132" s="10" t="n">
        <v>1</v>
      </c>
      <c r="F132" s="11" t="s">
        <v>1113</v>
      </c>
      <c r="G132" s="10" t="s">
        <v>1114</v>
      </c>
      <c r="H132" s="10" t="s">
        <v>1115</v>
      </c>
      <c r="I132" s="10" t="s">
        <v>1116</v>
      </c>
      <c r="J132" s="10" t="s">
        <v>1117</v>
      </c>
      <c r="K132" s="10" t="s">
        <v>62</v>
      </c>
      <c r="L132" s="11" t="s">
        <v>1118</v>
      </c>
      <c r="M132" s="10" t="s">
        <v>64</v>
      </c>
      <c r="N132" s="10"/>
      <c r="O132" s="10" t="s">
        <v>65</v>
      </c>
      <c r="P132" s="10" t="s">
        <v>66</v>
      </c>
      <c r="Q132" s="12" t="s">
        <v>1119</v>
      </c>
      <c r="R132" s="10" t="s">
        <v>1120</v>
      </c>
      <c r="S132" s="10" t="s">
        <v>69</v>
      </c>
      <c r="T132" s="13" t="s">
        <v>70</v>
      </c>
      <c r="U132" s="13"/>
      <c r="V132" s="14"/>
    </row>
    <row r="133" customFormat="false" ht="23.85" hidden="false" customHeight="false" outlineLevel="0" collapsed="false">
      <c r="A133" s="10" t="s">
        <v>1121</v>
      </c>
      <c r="B133" s="10" t="s">
        <v>54</v>
      </c>
      <c r="C133" s="10" t="s">
        <v>1097</v>
      </c>
      <c r="D133" s="10" t="s">
        <v>56</v>
      </c>
      <c r="E133" s="10" t="n">
        <v>1</v>
      </c>
      <c r="F133" s="11" t="s">
        <v>1122</v>
      </c>
      <c r="G133" s="10" t="s">
        <v>414</v>
      </c>
      <c r="H133" s="10" t="s">
        <v>1123</v>
      </c>
      <c r="I133" s="10" t="s">
        <v>412</v>
      </c>
      <c r="J133" s="10" t="s">
        <v>411</v>
      </c>
      <c r="K133" s="10" t="s">
        <v>62</v>
      </c>
      <c r="L133" s="11" t="s">
        <v>1124</v>
      </c>
      <c r="M133" s="10" t="s">
        <v>64</v>
      </c>
      <c r="N133" s="10"/>
      <c r="O133" s="10" t="s">
        <v>65</v>
      </c>
      <c r="P133" s="10" t="s">
        <v>66</v>
      </c>
      <c r="Q133" s="12" t="s">
        <v>492</v>
      </c>
      <c r="R133" s="10" t="s">
        <v>1125</v>
      </c>
      <c r="S133" s="10" t="s">
        <v>69</v>
      </c>
      <c r="T133" s="13" t="s">
        <v>70</v>
      </c>
      <c r="U133" s="13"/>
      <c r="V133" s="14"/>
    </row>
    <row r="134" customFormat="false" ht="23.85" hidden="false" customHeight="false" outlineLevel="0" collapsed="false">
      <c r="A134" s="10" t="s">
        <v>1126</v>
      </c>
      <c r="B134" s="10" t="s">
        <v>54</v>
      </c>
      <c r="C134" s="10" t="s">
        <v>1127</v>
      </c>
      <c r="D134" s="10" t="s">
        <v>56</v>
      </c>
      <c r="E134" s="10" t="n">
        <v>1</v>
      </c>
      <c r="F134" s="11" t="s">
        <v>1128</v>
      </c>
      <c r="G134" s="10" t="s">
        <v>1129</v>
      </c>
      <c r="H134" s="10" t="s">
        <v>1130</v>
      </c>
      <c r="I134" s="10" t="s">
        <v>1131</v>
      </c>
      <c r="J134" s="10" t="s">
        <v>1132</v>
      </c>
      <c r="K134" s="10" t="s">
        <v>62</v>
      </c>
      <c r="L134" s="11" t="s">
        <v>1133</v>
      </c>
      <c r="M134" s="10" t="s">
        <v>64</v>
      </c>
      <c r="N134" s="10"/>
      <c r="O134" s="10" t="s">
        <v>427</v>
      </c>
      <c r="P134" s="10" t="s">
        <v>66</v>
      </c>
      <c r="Q134" s="12" t="s">
        <v>1134</v>
      </c>
      <c r="R134" s="10" t="s">
        <v>1135</v>
      </c>
      <c r="S134" s="10" t="s">
        <v>69</v>
      </c>
      <c r="T134" s="13" t="s">
        <v>70</v>
      </c>
      <c r="U134" s="13"/>
      <c r="V134" s="14"/>
    </row>
    <row r="135" customFormat="false" ht="46.25" hidden="false" customHeight="false" outlineLevel="0" collapsed="false">
      <c r="A135" s="10" t="s">
        <v>1136</v>
      </c>
      <c r="B135" s="10" t="s">
        <v>54</v>
      </c>
      <c r="C135" s="10" t="s">
        <v>1097</v>
      </c>
      <c r="D135" s="10" t="s">
        <v>56</v>
      </c>
      <c r="E135" s="10" t="n">
        <v>2</v>
      </c>
      <c r="F135" s="11" t="s">
        <v>1137</v>
      </c>
      <c r="G135" s="10" t="s">
        <v>1138</v>
      </c>
      <c r="H135" s="10" t="s">
        <v>1139</v>
      </c>
      <c r="I135" s="10" t="s">
        <v>1140</v>
      </c>
      <c r="J135" s="10" t="s">
        <v>1141</v>
      </c>
      <c r="K135" s="10" t="s">
        <v>62</v>
      </c>
      <c r="L135" s="11" t="s">
        <v>1142</v>
      </c>
      <c r="M135" s="10" t="s">
        <v>64</v>
      </c>
      <c r="N135" s="10"/>
      <c r="O135" s="10" t="s">
        <v>65</v>
      </c>
      <c r="P135" s="10" t="s">
        <v>66</v>
      </c>
      <c r="Q135" s="12" t="s">
        <v>1143</v>
      </c>
      <c r="R135" s="10" t="s">
        <v>1144</v>
      </c>
      <c r="S135" s="10" t="s">
        <v>69</v>
      </c>
      <c r="T135" s="13" t="s">
        <v>70</v>
      </c>
      <c r="U135" s="13"/>
      <c r="V135" s="14" t="s">
        <v>1145</v>
      </c>
    </row>
    <row r="136" customFormat="false" ht="23.85" hidden="false" customHeight="false" outlineLevel="0" collapsed="false">
      <c r="A136" s="10" t="s">
        <v>1146</v>
      </c>
      <c r="B136" s="10" t="s">
        <v>54</v>
      </c>
      <c r="C136" s="10" t="s">
        <v>1097</v>
      </c>
      <c r="D136" s="10" t="s">
        <v>56</v>
      </c>
      <c r="E136" s="10" t="n">
        <v>2</v>
      </c>
      <c r="F136" s="11" t="s">
        <v>1147</v>
      </c>
      <c r="G136" s="10" t="s">
        <v>598</v>
      </c>
      <c r="H136" s="10" t="s">
        <v>597</v>
      </c>
      <c r="I136" s="10" t="s">
        <v>1148</v>
      </c>
      <c r="J136" s="10" t="s">
        <v>1149</v>
      </c>
      <c r="K136" s="10" t="s">
        <v>62</v>
      </c>
      <c r="L136" s="11" t="s">
        <v>1150</v>
      </c>
      <c r="M136" s="10" t="s">
        <v>64</v>
      </c>
      <c r="N136" s="10"/>
      <c r="O136" s="10" t="s">
        <v>361</v>
      </c>
      <c r="P136" s="10" t="s">
        <v>66</v>
      </c>
      <c r="Q136" s="12" t="s">
        <v>1151</v>
      </c>
      <c r="R136" s="10" t="s">
        <v>1152</v>
      </c>
      <c r="S136" s="10" t="s">
        <v>69</v>
      </c>
      <c r="T136" s="13" t="s">
        <v>70</v>
      </c>
      <c r="U136" s="13"/>
      <c r="V136" s="14"/>
    </row>
    <row r="137" customFormat="false" ht="23.85" hidden="false" customHeight="false" outlineLevel="0" collapsed="false">
      <c r="A137" s="10" t="s">
        <v>1153</v>
      </c>
      <c r="B137" s="10" t="s">
        <v>54</v>
      </c>
      <c r="C137" s="10" t="s">
        <v>1127</v>
      </c>
      <c r="D137" s="10" t="s">
        <v>56</v>
      </c>
      <c r="E137" s="10" t="n">
        <v>2</v>
      </c>
      <c r="F137" s="11" t="s">
        <v>1154</v>
      </c>
      <c r="G137" s="10" t="s">
        <v>1155</v>
      </c>
      <c r="H137" s="10" t="s">
        <v>1130</v>
      </c>
      <c r="I137" s="10" t="s">
        <v>1129</v>
      </c>
      <c r="J137" s="10" t="s">
        <v>1156</v>
      </c>
      <c r="K137" s="10" t="s">
        <v>62</v>
      </c>
      <c r="L137" s="11" t="s">
        <v>1157</v>
      </c>
      <c r="M137" s="10" t="s">
        <v>64</v>
      </c>
      <c r="N137" s="10"/>
      <c r="O137" s="10" t="s">
        <v>65</v>
      </c>
      <c r="P137" s="10" t="s">
        <v>66</v>
      </c>
      <c r="Q137" s="12" t="s">
        <v>1158</v>
      </c>
      <c r="R137" s="10" t="s">
        <v>1159</v>
      </c>
      <c r="S137" s="10" t="s">
        <v>69</v>
      </c>
      <c r="T137" s="13" t="s">
        <v>70</v>
      </c>
      <c r="U137" s="13"/>
      <c r="V137" s="14"/>
    </row>
    <row r="138" customFormat="false" ht="23.85" hidden="false" customHeight="false" outlineLevel="0" collapsed="false">
      <c r="A138" s="10" t="s">
        <v>1160</v>
      </c>
      <c r="B138" s="10" t="s">
        <v>54</v>
      </c>
      <c r="C138" s="10" t="s">
        <v>1107</v>
      </c>
      <c r="D138" s="10" t="s">
        <v>56</v>
      </c>
      <c r="E138" s="10" t="n">
        <v>2</v>
      </c>
      <c r="F138" s="11" t="s">
        <v>1161</v>
      </c>
      <c r="G138" s="10" t="s">
        <v>1162</v>
      </c>
      <c r="H138" s="10" t="s">
        <v>644</v>
      </c>
      <c r="I138" s="10" t="s">
        <v>1163</v>
      </c>
      <c r="J138" s="10" t="s">
        <v>1164</v>
      </c>
      <c r="K138" s="10" t="s">
        <v>62</v>
      </c>
      <c r="L138" s="11" t="s">
        <v>1165</v>
      </c>
      <c r="M138" s="10" t="s">
        <v>64</v>
      </c>
      <c r="N138" s="10" t="s">
        <v>217</v>
      </c>
      <c r="O138" s="10" t="s">
        <v>361</v>
      </c>
      <c r="P138" s="10" t="s">
        <v>66</v>
      </c>
      <c r="Q138" s="12" t="s">
        <v>1119</v>
      </c>
      <c r="R138" s="10" t="s">
        <v>1120</v>
      </c>
      <c r="S138" s="10" t="s">
        <v>69</v>
      </c>
      <c r="T138" s="13" t="s">
        <v>70</v>
      </c>
      <c r="U138" s="13"/>
      <c r="V138" s="14"/>
    </row>
    <row r="139" customFormat="false" ht="23.85" hidden="false" customHeight="false" outlineLevel="0" collapsed="false">
      <c r="A139" s="10" t="s">
        <v>1166</v>
      </c>
      <c r="B139" s="10" t="s">
        <v>54</v>
      </c>
      <c r="C139" s="10" t="s">
        <v>1097</v>
      </c>
      <c r="D139" s="10" t="s">
        <v>56</v>
      </c>
      <c r="E139" s="10" t="n">
        <v>2</v>
      </c>
      <c r="F139" s="11" t="s">
        <v>1167</v>
      </c>
      <c r="G139" s="10" t="s">
        <v>1168</v>
      </c>
      <c r="H139" s="10" t="s">
        <v>1169</v>
      </c>
      <c r="I139" s="10" t="s">
        <v>1170</v>
      </c>
      <c r="J139" s="10" t="s">
        <v>1171</v>
      </c>
      <c r="K139" s="10" t="s">
        <v>62</v>
      </c>
      <c r="L139" s="11" t="s">
        <v>1172</v>
      </c>
      <c r="M139" s="10" t="s">
        <v>64</v>
      </c>
      <c r="N139" s="10"/>
      <c r="O139" s="10" t="s">
        <v>65</v>
      </c>
      <c r="P139" s="10" t="s">
        <v>66</v>
      </c>
      <c r="Q139" s="12" t="s">
        <v>1173</v>
      </c>
      <c r="R139" s="10" t="s">
        <v>1174</v>
      </c>
      <c r="S139" s="10" t="s">
        <v>69</v>
      </c>
      <c r="T139" s="13" t="s">
        <v>70</v>
      </c>
      <c r="U139" s="13"/>
      <c r="V139" s="14"/>
    </row>
    <row r="140" customFormat="false" ht="35.05" hidden="false" customHeight="false" outlineLevel="0" collapsed="false">
      <c r="A140" s="10" t="s">
        <v>1175</v>
      </c>
      <c r="B140" s="10" t="s">
        <v>54</v>
      </c>
      <c r="C140" s="10" t="s">
        <v>1107</v>
      </c>
      <c r="D140" s="10" t="s">
        <v>56</v>
      </c>
      <c r="E140" s="10" t="n">
        <v>2</v>
      </c>
      <c r="F140" s="11" t="s">
        <v>1176</v>
      </c>
      <c r="G140" s="10" t="s">
        <v>1177</v>
      </c>
      <c r="H140" s="10" t="s">
        <v>1178</v>
      </c>
      <c r="I140" s="10" t="s">
        <v>1179</v>
      </c>
      <c r="J140" s="10" t="s">
        <v>1180</v>
      </c>
      <c r="K140" s="10" t="s">
        <v>62</v>
      </c>
      <c r="L140" s="11" t="s">
        <v>1181</v>
      </c>
      <c r="M140" s="10" t="s">
        <v>64</v>
      </c>
      <c r="N140" s="10"/>
      <c r="O140" s="10" t="s">
        <v>65</v>
      </c>
      <c r="P140" s="10" t="s">
        <v>66</v>
      </c>
      <c r="Q140" s="12" t="s">
        <v>1182</v>
      </c>
      <c r="R140" s="10" t="s">
        <v>1183</v>
      </c>
      <c r="S140" s="10" t="s">
        <v>69</v>
      </c>
      <c r="T140" s="13" t="s">
        <v>70</v>
      </c>
      <c r="U140" s="13"/>
      <c r="V140" s="14" t="s">
        <v>1184</v>
      </c>
    </row>
    <row r="141" customFormat="false" ht="23.85" hidden="false" customHeight="false" outlineLevel="0" collapsed="false">
      <c r="A141" s="10" t="s">
        <v>1185</v>
      </c>
      <c r="B141" s="10" t="s">
        <v>54</v>
      </c>
      <c r="C141" s="10" t="s">
        <v>1097</v>
      </c>
      <c r="D141" s="10" t="s">
        <v>56</v>
      </c>
      <c r="E141" s="10" t="n">
        <v>3</v>
      </c>
      <c r="F141" s="11" t="s">
        <v>1186</v>
      </c>
      <c r="G141" s="10" t="s">
        <v>1187</v>
      </c>
      <c r="H141" s="10" t="s">
        <v>1188</v>
      </c>
      <c r="I141" s="10" t="s">
        <v>1189</v>
      </c>
      <c r="J141" s="10" t="s">
        <v>1190</v>
      </c>
      <c r="K141" s="10" t="s">
        <v>62</v>
      </c>
      <c r="L141" s="11" t="s">
        <v>1191</v>
      </c>
      <c r="M141" s="10" t="s">
        <v>64</v>
      </c>
      <c r="N141" s="10"/>
      <c r="O141" s="10" t="s">
        <v>320</v>
      </c>
      <c r="P141" s="10" t="s">
        <v>66</v>
      </c>
      <c r="Q141" s="12" t="s">
        <v>1192</v>
      </c>
      <c r="R141" s="10" t="s">
        <v>1193</v>
      </c>
      <c r="S141" s="10" t="s">
        <v>69</v>
      </c>
      <c r="T141" s="13" t="s">
        <v>70</v>
      </c>
      <c r="U141" s="13"/>
      <c r="V141" s="14"/>
    </row>
    <row r="142" customFormat="false" ht="23.85" hidden="false" customHeight="false" outlineLevel="0" collapsed="false">
      <c r="A142" s="10" t="s">
        <v>1194</v>
      </c>
      <c r="B142" s="10" t="s">
        <v>54</v>
      </c>
      <c r="C142" s="10" t="s">
        <v>1195</v>
      </c>
      <c r="D142" s="10" t="s">
        <v>56</v>
      </c>
      <c r="E142" s="10" t="n">
        <v>3</v>
      </c>
      <c r="F142" s="11" t="s">
        <v>1196</v>
      </c>
      <c r="G142" s="10" t="s">
        <v>1197</v>
      </c>
      <c r="H142" s="10" t="s">
        <v>1198</v>
      </c>
      <c r="I142" s="10" t="s">
        <v>1199</v>
      </c>
      <c r="J142" s="10" t="s">
        <v>1200</v>
      </c>
      <c r="K142" s="10" t="s">
        <v>62</v>
      </c>
      <c r="L142" s="11" t="s">
        <v>1201</v>
      </c>
      <c r="M142" s="10" t="s">
        <v>64</v>
      </c>
      <c r="N142" s="10"/>
      <c r="O142" s="10" t="s">
        <v>361</v>
      </c>
      <c r="P142" s="10" t="s">
        <v>66</v>
      </c>
      <c r="Q142" s="12" t="s">
        <v>1202</v>
      </c>
      <c r="R142" s="10" t="s">
        <v>1203</v>
      </c>
      <c r="S142" s="10" t="s">
        <v>69</v>
      </c>
      <c r="T142" s="13" t="s">
        <v>70</v>
      </c>
      <c r="U142" s="13"/>
      <c r="V142" s="14"/>
    </row>
    <row r="143" customFormat="false" ht="23.85" hidden="false" customHeight="false" outlineLevel="0" collapsed="false">
      <c r="A143" s="10" t="s">
        <v>1204</v>
      </c>
      <c r="B143" s="10" t="s">
        <v>54</v>
      </c>
      <c r="C143" s="10" t="s">
        <v>1195</v>
      </c>
      <c r="D143" s="10" t="s">
        <v>56</v>
      </c>
      <c r="E143" s="10" t="n">
        <v>3</v>
      </c>
      <c r="F143" s="11" t="s">
        <v>1205</v>
      </c>
      <c r="G143" s="10" t="s">
        <v>443</v>
      </c>
      <c r="H143" s="10" t="s">
        <v>442</v>
      </c>
      <c r="I143" s="10" t="s">
        <v>441</v>
      </c>
      <c r="J143" s="10" t="s">
        <v>1206</v>
      </c>
      <c r="K143" s="10" t="s">
        <v>62</v>
      </c>
      <c r="L143" s="11" t="s">
        <v>1207</v>
      </c>
      <c r="M143" s="10" t="s">
        <v>64</v>
      </c>
      <c r="N143" s="10"/>
      <c r="O143" s="10" t="s">
        <v>320</v>
      </c>
      <c r="P143" s="10" t="s">
        <v>66</v>
      </c>
      <c r="Q143" s="12" t="s">
        <v>1208</v>
      </c>
      <c r="R143" s="10" t="s">
        <v>1209</v>
      </c>
      <c r="S143" s="10" t="s">
        <v>69</v>
      </c>
      <c r="T143" s="13" t="s">
        <v>70</v>
      </c>
      <c r="U143" s="13"/>
      <c r="V143" s="14"/>
    </row>
    <row r="144" customFormat="false" ht="23.85" hidden="false" customHeight="false" outlineLevel="0" collapsed="false">
      <c r="A144" s="10" t="s">
        <v>1210</v>
      </c>
      <c r="B144" s="10" t="s">
        <v>54</v>
      </c>
      <c r="C144" s="10" t="s">
        <v>1195</v>
      </c>
      <c r="D144" s="10" t="s">
        <v>56</v>
      </c>
      <c r="E144" s="10" t="n">
        <v>3</v>
      </c>
      <c r="F144" s="11" t="s">
        <v>1211</v>
      </c>
      <c r="G144" s="10" t="s">
        <v>1212</v>
      </c>
      <c r="H144" s="10" t="s">
        <v>1213</v>
      </c>
      <c r="I144" s="10" t="s">
        <v>1214</v>
      </c>
      <c r="J144" s="10" t="s">
        <v>693</v>
      </c>
      <c r="K144" s="10" t="s">
        <v>62</v>
      </c>
      <c r="L144" s="11" t="s">
        <v>1215</v>
      </c>
      <c r="M144" s="10" t="s">
        <v>64</v>
      </c>
      <c r="N144" s="10"/>
      <c r="O144" s="10" t="s">
        <v>361</v>
      </c>
      <c r="P144" s="10" t="s">
        <v>66</v>
      </c>
      <c r="Q144" s="12" t="s">
        <v>1216</v>
      </c>
      <c r="R144" s="10" t="s">
        <v>1217</v>
      </c>
      <c r="S144" s="10" t="s">
        <v>69</v>
      </c>
      <c r="T144" s="13" t="s">
        <v>70</v>
      </c>
      <c r="U144" s="13"/>
      <c r="V144" s="14"/>
    </row>
    <row r="145" customFormat="false" ht="23.85" hidden="false" customHeight="false" outlineLevel="0" collapsed="false">
      <c r="A145" s="10" t="s">
        <v>1218</v>
      </c>
      <c r="B145" s="10" t="s">
        <v>54</v>
      </c>
      <c r="C145" s="10" t="s">
        <v>1107</v>
      </c>
      <c r="D145" s="10" t="s">
        <v>56</v>
      </c>
      <c r="E145" s="10" t="n">
        <v>3</v>
      </c>
      <c r="F145" s="11" t="s">
        <v>1219</v>
      </c>
      <c r="G145" s="10" t="s">
        <v>644</v>
      </c>
      <c r="H145" s="10" t="s">
        <v>645</v>
      </c>
      <c r="I145" s="10" t="s">
        <v>646</v>
      </c>
      <c r="J145" s="10" t="s">
        <v>425</v>
      </c>
      <c r="K145" s="10" t="s">
        <v>62</v>
      </c>
      <c r="L145" s="11" t="s">
        <v>1220</v>
      </c>
      <c r="M145" s="10" t="s">
        <v>64</v>
      </c>
      <c r="N145" s="10"/>
      <c r="O145" s="10" t="s">
        <v>320</v>
      </c>
      <c r="P145" s="10" t="s">
        <v>66</v>
      </c>
      <c r="Q145" s="12" t="s">
        <v>1221</v>
      </c>
      <c r="R145" s="10" t="s">
        <v>1222</v>
      </c>
      <c r="S145" s="10" t="s">
        <v>69</v>
      </c>
      <c r="T145" s="13" t="s">
        <v>70</v>
      </c>
      <c r="U145" s="13"/>
      <c r="V145" s="14"/>
    </row>
    <row r="146" customFormat="false" ht="23.85" hidden="false" customHeight="false" outlineLevel="0" collapsed="false">
      <c r="A146" s="10" t="s">
        <v>1223</v>
      </c>
      <c r="B146" s="10" t="s">
        <v>54</v>
      </c>
      <c r="C146" s="10" t="s">
        <v>1107</v>
      </c>
      <c r="D146" s="10" t="s">
        <v>56</v>
      </c>
      <c r="E146" s="10" t="n">
        <v>3</v>
      </c>
      <c r="F146" s="11" t="s">
        <v>1224</v>
      </c>
      <c r="G146" s="10" t="s">
        <v>1225</v>
      </c>
      <c r="H146" s="10" t="s">
        <v>1226</v>
      </c>
      <c r="I146" s="10" t="s">
        <v>1227</v>
      </c>
      <c r="J146" s="10" t="s">
        <v>1228</v>
      </c>
      <c r="K146" s="10" t="s">
        <v>62</v>
      </c>
      <c r="L146" s="11" t="s">
        <v>1229</v>
      </c>
      <c r="M146" s="10" t="s">
        <v>64</v>
      </c>
      <c r="N146" s="10"/>
      <c r="O146" s="10" t="s">
        <v>65</v>
      </c>
      <c r="P146" s="10" t="s">
        <v>66</v>
      </c>
      <c r="Q146" s="12" t="s">
        <v>1230</v>
      </c>
      <c r="R146" s="10" t="s">
        <v>1231</v>
      </c>
      <c r="S146" s="10" t="s">
        <v>69</v>
      </c>
      <c r="T146" s="13" t="s">
        <v>70</v>
      </c>
      <c r="U146" s="13"/>
      <c r="V146" s="14"/>
    </row>
    <row r="147" customFormat="false" ht="35.05" hidden="false" customHeight="false" outlineLevel="0" collapsed="false">
      <c r="A147" s="10" t="s">
        <v>1232</v>
      </c>
      <c r="B147" s="10" t="s">
        <v>54</v>
      </c>
      <c r="C147" s="10" t="s">
        <v>1107</v>
      </c>
      <c r="D147" s="10" t="s">
        <v>56</v>
      </c>
      <c r="E147" s="10" t="n">
        <v>3</v>
      </c>
      <c r="F147" s="11" t="s">
        <v>1233</v>
      </c>
      <c r="G147" s="10" t="s">
        <v>425</v>
      </c>
      <c r="H147" s="10" t="s">
        <v>423</v>
      </c>
      <c r="I147" s="10" t="s">
        <v>1234</v>
      </c>
      <c r="J147" s="10" t="s">
        <v>422</v>
      </c>
      <c r="K147" s="10" t="s">
        <v>62</v>
      </c>
      <c r="L147" s="11" t="s">
        <v>1235</v>
      </c>
      <c r="M147" s="10" t="s">
        <v>64</v>
      </c>
      <c r="N147" s="10" t="s">
        <v>217</v>
      </c>
      <c r="O147" s="10" t="s">
        <v>427</v>
      </c>
      <c r="P147" s="10" t="s">
        <v>66</v>
      </c>
      <c r="Q147" s="12" t="s">
        <v>1236</v>
      </c>
      <c r="R147" s="10" t="s">
        <v>1237</v>
      </c>
      <c r="S147" s="10" t="s">
        <v>69</v>
      </c>
      <c r="T147" s="13" t="s">
        <v>70</v>
      </c>
      <c r="U147" s="13"/>
      <c r="V147" s="14" t="s">
        <v>1238</v>
      </c>
    </row>
    <row r="148" customFormat="false" ht="35.05" hidden="false" customHeight="false" outlineLevel="0" collapsed="false">
      <c r="A148" s="10" t="s">
        <v>1239</v>
      </c>
      <c r="B148" s="10" t="s">
        <v>54</v>
      </c>
      <c r="C148" s="10" t="s">
        <v>1107</v>
      </c>
      <c r="D148" s="10" t="s">
        <v>56</v>
      </c>
      <c r="E148" s="10" t="n">
        <v>3</v>
      </c>
      <c r="F148" s="11" t="s">
        <v>1240</v>
      </c>
      <c r="G148" s="10" t="s">
        <v>1241</v>
      </c>
      <c r="H148" s="10" t="s">
        <v>1242</v>
      </c>
      <c r="I148" s="10" t="s">
        <v>1243</v>
      </c>
      <c r="J148" s="10" t="s">
        <v>1244</v>
      </c>
      <c r="K148" s="10" t="s">
        <v>62</v>
      </c>
      <c r="L148" s="11" t="s">
        <v>1245</v>
      </c>
      <c r="M148" s="10" t="s">
        <v>64</v>
      </c>
      <c r="N148" s="10"/>
      <c r="O148" s="10" t="s">
        <v>65</v>
      </c>
      <c r="P148" s="10" t="s">
        <v>66</v>
      </c>
      <c r="Q148" s="12" t="s">
        <v>1246</v>
      </c>
      <c r="R148" s="10" t="s">
        <v>1247</v>
      </c>
      <c r="S148" s="10" t="s">
        <v>69</v>
      </c>
      <c r="T148" s="13" t="s">
        <v>70</v>
      </c>
      <c r="U148" s="13"/>
      <c r="V148" s="14" t="s">
        <v>1184</v>
      </c>
    </row>
    <row r="149" customFormat="false" ht="23.85" hidden="false" customHeight="false" outlineLevel="0" collapsed="false">
      <c r="A149" s="10" t="s">
        <v>1248</v>
      </c>
      <c r="B149" s="10" t="s">
        <v>54</v>
      </c>
      <c r="C149" s="10" t="s">
        <v>1127</v>
      </c>
      <c r="D149" s="10" t="s">
        <v>56</v>
      </c>
      <c r="E149" s="10" t="n">
        <v>3</v>
      </c>
      <c r="F149" s="11" t="s">
        <v>1249</v>
      </c>
      <c r="G149" s="10" t="s">
        <v>1177</v>
      </c>
      <c r="H149" s="10" t="s">
        <v>1180</v>
      </c>
      <c r="I149" s="10" t="s">
        <v>1178</v>
      </c>
      <c r="J149" s="10" t="s">
        <v>1099</v>
      </c>
      <c r="K149" s="10" t="s">
        <v>62</v>
      </c>
      <c r="L149" s="11" t="s">
        <v>1250</v>
      </c>
      <c r="M149" s="10" t="s">
        <v>64</v>
      </c>
      <c r="N149" s="10"/>
      <c r="O149" s="10" t="s">
        <v>65</v>
      </c>
      <c r="P149" s="10" t="s">
        <v>66</v>
      </c>
      <c r="Q149" s="12" t="s">
        <v>1251</v>
      </c>
      <c r="R149" s="10" t="s">
        <v>1252</v>
      </c>
      <c r="S149" s="10" t="s">
        <v>69</v>
      </c>
      <c r="T149" s="13" t="s">
        <v>70</v>
      </c>
      <c r="U149" s="13"/>
      <c r="V149" s="14"/>
    </row>
    <row r="150" customFormat="false" ht="23.85" hidden="false" customHeight="false" outlineLevel="0" collapsed="false">
      <c r="A150" s="10" t="s">
        <v>1253</v>
      </c>
      <c r="B150" s="10" t="s">
        <v>54</v>
      </c>
      <c r="C150" s="10" t="s">
        <v>1097</v>
      </c>
      <c r="D150" s="10" t="s">
        <v>56</v>
      </c>
      <c r="E150" s="10" t="n">
        <v>4</v>
      </c>
      <c r="F150" s="11" t="s">
        <v>1254</v>
      </c>
      <c r="G150" s="10" t="s">
        <v>543</v>
      </c>
      <c r="H150" s="10" t="s">
        <v>1255</v>
      </c>
      <c r="I150" s="10" t="s">
        <v>544</v>
      </c>
      <c r="J150" s="10" t="s">
        <v>1256</v>
      </c>
      <c r="K150" s="10" t="s">
        <v>62</v>
      </c>
      <c r="L150" s="11" t="s">
        <v>1257</v>
      </c>
      <c r="M150" s="10" t="s">
        <v>64</v>
      </c>
      <c r="N150" s="10"/>
      <c r="O150" s="10" t="s">
        <v>65</v>
      </c>
      <c r="P150" s="10" t="s">
        <v>66</v>
      </c>
      <c r="Q150" s="12" t="s">
        <v>1258</v>
      </c>
      <c r="R150" s="10" t="s">
        <v>1259</v>
      </c>
      <c r="S150" s="10" t="s">
        <v>69</v>
      </c>
      <c r="T150" s="13" t="s">
        <v>70</v>
      </c>
      <c r="U150" s="13"/>
      <c r="V150" s="14"/>
    </row>
    <row r="151" customFormat="false" ht="23.85" hidden="false" customHeight="false" outlineLevel="0" collapsed="false">
      <c r="A151" s="10" t="s">
        <v>1260</v>
      </c>
      <c r="B151" s="10" t="s">
        <v>54</v>
      </c>
      <c r="C151" s="10" t="s">
        <v>1097</v>
      </c>
      <c r="D151" s="10" t="s">
        <v>56</v>
      </c>
      <c r="E151" s="10" t="n">
        <v>4</v>
      </c>
      <c r="F151" s="11" t="s">
        <v>1261</v>
      </c>
      <c r="G151" s="10" t="s">
        <v>1200</v>
      </c>
      <c r="H151" s="10" t="s">
        <v>1199</v>
      </c>
      <c r="I151" s="10" t="s">
        <v>1188</v>
      </c>
      <c r="J151" s="10" t="s">
        <v>1189</v>
      </c>
      <c r="K151" s="10" t="s">
        <v>62</v>
      </c>
      <c r="L151" s="11" t="s">
        <v>1262</v>
      </c>
      <c r="M151" s="10" t="s">
        <v>64</v>
      </c>
      <c r="N151" s="10"/>
      <c r="O151" s="10" t="s">
        <v>427</v>
      </c>
      <c r="P151" s="10" t="s">
        <v>66</v>
      </c>
      <c r="Q151" s="12" t="s">
        <v>1263</v>
      </c>
      <c r="R151" s="10" t="s">
        <v>1264</v>
      </c>
      <c r="S151" s="10" t="s">
        <v>69</v>
      </c>
      <c r="T151" s="13" t="s">
        <v>70</v>
      </c>
      <c r="U151" s="13"/>
      <c r="V151" s="14"/>
    </row>
    <row r="152" customFormat="false" ht="23.85" hidden="false" customHeight="false" outlineLevel="0" collapsed="false">
      <c r="A152" s="10" t="s">
        <v>1265</v>
      </c>
      <c r="B152" s="10" t="s">
        <v>54</v>
      </c>
      <c r="C152" s="10" t="s">
        <v>1127</v>
      </c>
      <c r="D152" s="10" t="s">
        <v>56</v>
      </c>
      <c r="E152" s="10" t="n">
        <v>4</v>
      </c>
      <c r="F152" s="11" t="s">
        <v>1266</v>
      </c>
      <c r="G152" s="10" t="s">
        <v>1141</v>
      </c>
      <c r="H152" s="10" t="s">
        <v>1139</v>
      </c>
      <c r="I152" s="10" t="s">
        <v>1267</v>
      </c>
      <c r="J152" s="10" t="s">
        <v>1138</v>
      </c>
      <c r="K152" s="10" t="s">
        <v>62</v>
      </c>
      <c r="L152" s="11" t="s">
        <v>1268</v>
      </c>
      <c r="M152" s="10" t="s">
        <v>64</v>
      </c>
      <c r="N152" s="10"/>
      <c r="O152" s="10" t="s">
        <v>65</v>
      </c>
      <c r="P152" s="10" t="s">
        <v>66</v>
      </c>
      <c r="Q152" s="12" t="s">
        <v>1269</v>
      </c>
      <c r="R152" s="10" t="s">
        <v>1270</v>
      </c>
      <c r="S152" s="10" t="s">
        <v>69</v>
      </c>
      <c r="T152" s="13" t="s">
        <v>70</v>
      </c>
      <c r="U152" s="13"/>
      <c r="V152" s="14"/>
    </row>
    <row r="153" customFormat="false" ht="23.85" hidden="false" customHeight="false" outlineLevel="0" collapsed="false">
      <c r="A153" s="10" t="s">
        <v>1271</v>
      </c>
      <c r="B153" s="10" t="s">
        <v>54</v>
      </c>
      <c r="C153" s="10" t="s">
        <v>1107</v>
      </c>
      <c r="D153" s="10" t="s">
        <v>56</v>
      </c>
      <c r="E153" s="10" t="n">
        <v>4</v>
      </c>
      <c r="F153" s="11" t="s">
        <v>1272</v>
      </c>
      <c r="G153" s="10" t="s">
        <v>643</v>
      </c>
      <c r="H153" s="10" t="s">
        <v>644</v>
      </c>
      <c r="I153" s="10" t="s">
        <v>693</v>
      </c>
      <c r="J153" s="10" t="s">
        <v>696</v>
      </c>
      <c r="K153" s="10" t="s">
        <v>62</v>
      </c>
      <c r="L153" s="11" t="s">
        <v>1273</v>
      </c>
      <c r="M153" s="10" t="s">
        <v>64</v>
      </c>
      <c r="N153" s="10"/>
      <c r="O153" s="10" t="s">
        <v>331</v>
      </c>
      <c r="P153" s="10" t="s">
        <v>66</v>
      </c>
      <c r="Q153" s="12" t="s">
        <v>1274</v>
      </c>
      <c r="R153" s="10" t="s">
        <v>1275</v>
      </c>
      <c r="S153" s="10" t="s">
        <v>69</v>
      </c>
      <c r="T153" s="13" t="s">
        <v>70</v>
      </c>
      <c r="U153" s="13"/>
      <c r="V153" s="14"/>
    </row>
    <row r="154" customFormat="false" ht="23.85" hidden="false" customHeight="false" outlineLevel="0" collapsed="false">
      <c r="A154" s="10" t="s">
        <v>1276</v>
      </c>
      <c r="B154" s="10" t="s">
        <v>54</v>
      </c>
      <c r="C154" s="10" t="s">
        <v>1127</v>
      </c>
      <c r="D154" s="10" t="s">
        <v>56</v>
      </c>
      <c r="E154" s="10" t="n">
        <v>4</v>
      </c>
      <c r="F154" s="11" t="s">
        <v>1277</v>
      </c>
      <c r="G154" s="10" t="s">
        <v>1278</v>
      </c>
      <c r="H154" s="10" t="s">
        <v>1279</v>
      </c>
      <c r="I154" s="10" t="s">
        <v>1280</v>
      </c>
      <c r="J154" s="10" t="s">
        <v>1281</v>
      </c>
      <c r="K154" s="10" t="s">
        <v>62</v>
      </c>
      <c r="L154" s="11" t="s">
        <v>1282</v>
      </c>
      <c r="M154" s="10" t="s">
        <v>64</v>
      </c>
      <c r="N154" s="10"/>
      <c r="O154" s="10" t="s">
        <v>65</v>
      </c>
      <c r="P154" s="10" t="s">
        <v>66</v>
      </c>
      <c r="Q154" s="12" t="s">
        <v>1283</v>
      </c>
      <c r="R154" s="10" t="s">
        <v>1284</v>
      </c>
      <c r="S154" s="10" t="s">
        <v>69</v>
      </c>
      <c r="T154" s="13" t="s">
        <v>70</v>
      </c>
      <c r="U154" s="13"/>
      <c r="V154" s="14"/>
    </row>
    <row r="155" customFormat="false" ht="23.85" hidden="false" customHeight="false" outlineLevel="0" collapsed="false">
      <c r="A155" s="10" t="s">
        <v>1285</v>
      </c>
      <c r="B155" s="10" t="s">
        <v>54</v>
      </c>
      <c r="C155" s="10" t="s">
        <v>1097</v>
      </c>
      <c r="D155" s="10" t="s">
        <v>213</v>
      </c>
      <c r="E155" s="10" t="n">
        <v>4</v>
      </c>
      <c r="F155" s="11" t="s">
        <v>1286</v>
      </c>
      <c r="G155" s="10"/>
      <c r="H155" s="10"/>
      <c r="I155" s="10"/>
      <c r="J155" s="10"/>
      <c r="K155" s="10" t="s">
        <v>215</v>
      </c>
      <c r="L155" s="11" t="s">
        <v>1287</v>
      </c>
      <c r="M155" s="10" t="s">
        <v>64</v>
      </c>
      <c r="N155" s="10"/>
      <c r="O155" s="10" t="s">
        <v>65</v>
      </c>
      <c r="P155" s="10" t="s">
        <v>66</v>
      </c>
      <c r="Q155" s="12" t="s">
        <v>1173</v>
      </c>
      <c r="R155" s="10" t="s">
        <v>1174</v>
      </c>
      <c r="S155" s="10" t="s">
        <v>69</v>
      </c>
      <c r="T155" s="13" t="s">
        <v>70</v>
      </c>
      <c r="U155" s="13"/>
      <c r="V155" s="14"/>
    </row>
    <row r="156" customFormat="false" ht="23.85" hidden="false" customHeight="false" outlineLevel="0" collapsed="false">
      <c r="A156" s="10" t="s">
        <v>1288</v>
      </c>
      <c r="B156" s="10" t="s">
        <v>54</v>
      </c>
      <c r="C156" s="10" t="s">
        <v>1195</v>
      </c>
      <c r="D156" s="10" t="s">
        <v>56</v>
      </c>
      <c r="E156" s="10" t="n">
        <v>5</v>
      </c>
      <c r="F156" s="11" t="s">
        <v>1289</v>
      </c>
      <c r="G156" s="10" t="s">
        <v>1290</v>
      </c>
      <c r="H156" s="10" t="s">
        <v>1291</v>
      </c>
      <c r="I156" s="10" t="s">
        <v>1292</v>
      </c>
      <c r="J156" s="10" t="s">
        <v>1293</v>
      </c>
      <c r="K156" s="10" t="s">
        <v>62</v>
      </c>
      <c r="L156" s="11" t="s">
        <v>1294</v>
      </c>
      <c r="M156" s="10" t="s">
        <v>64</v>
      </c>
      <c r="N156" s="10"/>
      <c r="O156" s="10" t="s">
        <v>331</v>
      </c>
      <c r="P156" s="10" t="s">
        <v>66</v>
      </c>
      <c r="Q156" s="12" t="s">
        <v>1295</v>
      </c>
      <c r="R156" s="10" t="s">
        <v>1296</v>
      </c>
      <c r="S156" s="10" t="s">
        <v>69</v>
      </c>
      <c r="T156" s="13" t="s">
        <v>70</v>
      </c>
      <c r="U156" s="13"/>
      <c r="V156" s="14"/>
    </row>
    <row r="157" customFormat="false" ht="23.85" hidden="false" customHeight="false" outlineLevel="0" collapsed="false">
      <c r="A157" s="10" t="s">
        <v>1297</v>
      </c>
      <c r="B157" s="10" t="s">
        <v>54</v>
      </c>
      <c r="C157" s="10" t="s">
        <v>1107</v>
      </c>
      <c r="D157" s="10" t="s">
        <v>56</v>
      </c>
      <c r="E157" s="10" t="n">
        <v>5</v>
      </c>
      <c r="F157" s="11" t="s">
        <v>1298</v>
      </c>
      <c r="G157" s="10" t="s">
        <v>646</v>
      </c>
      <c r="H157" s="10" t="s">
        <v>742</v>
      </c>
      <c r="I157" s="10" t="s">
        <v>653</v>
      </c>
      <c r="J157" s="10" t="s">
        <v>1299</v>
      </c>
      <c r="K157" s="10" t="s">
        <v>62</v>
      </c>
      <c r="L157" s="11" t="s">
        <v>1300</v>
      </c>
      <c r="M157" s="10" t="s">
        <v>64</v>
      </c>
      <c r="N157" s="10"/>
      <c r="O157" s="10" t="s">
        <v>331</v>
      </c>
      <c r="P157" s="10" t="s">
        <v>66</v>
      </c>
      <c r="Q157" s="12" t="s">
        <v>1119</v>
      </c>
      <c r="R157" s="10" t="s">
        <v>1120</v>
      </c>
      <c r="S157" s="10" t="s">
        <v>69</v>
      </c>
      <c r="T157" s="13" t="s">
        <v>70</v>
      </c>
      <c r="U157" s="13"/>
      <c r="V157" s="14" t="s">
        <v>1301</v>
      </c>
    </row>
    <row r="158" customFormat="false" ht="23.85" hidden="false" customHeight="false" outlineLevel="0" collapsed="false">
      <c r="A158" s="10" t="s">
        <v>1302</v>
      </c>
      <c r="B158" s="10" t="s">
        <v>54</v>
      </c>
      <c r="C158" s="10" t="s">
        <v>1107</v>
      </c>
      <c r="D158" s="10" t="s">
        <v>213</v>
      </c>
      <c r="E158" s="10" t="n">
        <v>5</v>
      </c>
      <c r="F158" s="11" t="s">
        <v>1303</v>
      </c>
      <c r="G158" s="10"/>
      <c r="H158" s="10"/>
      <c r="I158" s="10"/>
      <c r="J158" s="10"/>
      <c r="K158" s="10" t="s">
        <v>1304</v>
      </c>
      <c r="L158" s="11" t="s">
        <v>1305</v>
      </c>
      <c r="M158" s="10" t="s">
        <v>64</v>
      </c>
      <c r="N158" s="10"/>
      <c r="O158" s="10" t="s">
        <v>331</v>
      </c>
      <c r="P158" s="10" t="s">
        <v>66</v>
      </c>
      <c r="Q158" s="12" t="s">
        <v>1306</v>
      </c>
      <c r="R158" s="10" t="s">
        <v>1307</v>
      </c>
      <c r="S158" s="10" t="s">
        <v>69</v>
      </c>
      <c r="T158" s="13" t="s">
        <v>70</v>
      </c>
      <c r="U158" s="13"/>
      <c r="V158" s="14"/>
    </row>
    <row r="159" customFormat="false" ht="23.85" hidden="false" customHeight="false" outlineLevel="0" collapsed="false">
      <c r="A159" s="10" t="s">
        <v>1308</v>
      </c>
      <c r="B159" s="10" t="s">
        <v>54</v>
      </c>
      <c r="C159" s="10" t="s">
        <v>1097</v>
      </c>
      <c r="D159" s="10" t="s">
        <v>213</v>
      </c>
      <c r="E159" s="10" t="n">
        <v>5</v>
      </c>
      <c r="F159" s="11" t="s">
        <v>1309</v>
      </c>
      <c r="G159" s="10"/>
      <c r="H159" s="10"/>
      <c r="I159" s="10"/>
      <c r="J159" s="10"/>
      <c r="K159" s="10" t="s">
        <v>1310</v>
      </c>
      <c r="L159" s="11" t="s">
        <v>1311</v>
      </c>
      <c r="M159" s="10" t="s">
        <v>64</v>
      </c>
      <c r="N159" s="10"/>
      <c r="O159" s="10" t="s">
        <v>65</v>
      </c>
      <c r="P159" s="10" t="s">
        <v>66</v>
      </c>
      <c r="Q159" s="12" t="s">
        <v>1173</v>
      </c>
      <c r="R159" s="10" t="s">
        <v>1174</v>
      </c>
      <c r="S159" s="10" t="s">
        <v>69</v>
      </c>
      <c r="T159" s="13" t="s">
        <v>70</v>
      </c>
      <c r="U159" s="13"/>
      <c r="V159" s="14"/>
    </row>
  </sheetData>
  <autoFilter ref="A1:V159"/>
  <dataValidations count="1">
    <dataValidation allowBlank="true" errorStyle="stop" operator="between" showDropDown="false" showErrorMessage="false" showInputMessage="false" sqref="T2:T1159" type="list">
      <formula1>"to check,approved,fix needed,rejected"</formula1>
      <formula2>0</formula2>
    </dataValidation>
  </dataValidations>
  <hyperlinks>
    <hyperlink ref="Q2" r:id="rId1" display="https://sportsvillagesquare.com/?p=79212"/>
    <hyperlink ref="Q3" r:id="rId2" display="https://archivi.ng/the-archivist/stories/issue-4/green-eagles-of-nigeria-at-afcon-1980"/>
    <hyperlink ref="Q4" r:id="rId3" display="https://www.aljazeera.com/sports/2013/2/11/nigeria-triumphs-at-africa-cup-of-nations"/>
    <hyperlink ref="Q5" r:id="rId4" display="https://inside.fifa.com/en/news/worldcupathome-nigeria-italy-1994-baggio-comeback"/>
    <hyperlink ref="Q6" r:id="rId5" display="https://en.wikipedia.org/wiki/Jay-Jay_Okocha"/>
    <hyperlink ref="Q7" r:id="rId6" display="https://www.goal.com/en-us/news/nigerias-first-ever-world-cup-goal-and-the-five-most/blt4192f0869e6dcbd2"/>
    <hyperlink ref="Q8" r:id="rId7" display="https://www.legit.ng/sports/football/1690304-arsenal-legend-kanu-nwankwo-papilo-sends-strong-message-super-eagles-uganda-clash/"/>
    <hyperlink ref="Q9" r:id="rId8" display="https://www.aljazeera.com/sports/2013/2/11/nigeria-triumphs-at-africa-cup-of-nations"/>
    <hyperlink ref="Q10" r:id="rId9" display="https://sportsvillagesquare.com/2020/05/02/ex-super-eagles-manager-clemens-westerhof-clocks-80"/>
    <hyperlink ref="Q11" r:id="rId10" display="https://www.thescore.com/news/1552695"/>
    <hyperlink ref="Q12" r:id="rId11" display="https://www.aljazeera.com/sports/2018/1/23/stephen-keshi-why-google-honours-him-today"/>
    <hyperlink ref="Q13" r:id="rId12" display="https://www.aljazeera.com/sports/2013/2/11/nigeria-triumphs-at-africa-cup-of-nations"/>
    <hyperlink ref="Q14" r:id="rId13" display="https://www.thisdaylive.com/2022/10/01/emmanuel-amuneke-mission-to-zambia/"/>
    <hyperlink ref="Q15" r:id="rId14" display="https://www.planetfootball.com/nostalgia/jay-jay-okocha-nigeria-1998-world-cup-france-spain-skilla-assists"/>
    <hyperlink ref="Q16" r:id="rId15" display="https://inside.fifa.com/en/news/worldcupathome-nigeria-italy-1994-baggio-comeback"/>
    <hyperlink ref="Q17" r:id="rId16" display="https://www.cbsnews.com/amp/news/world-cup-2014-france-wins-a-deceptively-close-2-0-game-against-nigeria"/>
    <hyperlink ref="Q18" r:id="rId17" display="https://en.wikipedia.org/wiki/Jay-Jay_Okocha"/>
    <hyperlink ref="Q19" r:id="rId18" display="https://www.cafonline.com/caf-africa-cup-of-nations/news/totalenergies-caf-afcon-cote-d-ivoire-2023-awards/"/>
    <hyperlink ref="Q20" r:id="rId19" display="https://www.aljazeera.com/sports/2025/11/16/dr-congo-shock-nigeria-on-penalties-to-win-african-world-cup-playoffs"/>
    <hyperlink ref="Q21" r:id="rId20" display="https://www.arise.tv/nff-salutes-ahmed-musas-legacy-as-nigerias-most-capped-player-retires/"/>
    <hyperlink ref="Q22" r:id="rId21" display="https://archivi.ng/the-archivist/stories/issue-4/green-eagles-of-nigeria-at-afcon-1980"/>
    <hyperlink ref="Q23" r:id="rId22" display="https://nannews.ng/nigeria-lost-a-true-icon-in-chukwu-nsc-d-g/"/>
    <hyperlink ref="Q24" r:id="rId23" display="https://www.foxnews.com/sports/joseph-yobo-announces-international-retirement-after-scoring-own-goal-in-100th-cap-for-nigeria.amp"/>
    <hyperlink ref="Q25" r:id="rId24" display="https://www.beinsports.com/en-mena/articles-video/2018-fifa-world-cup-nigeria-beat-iceland-2-0-"/>
    <hyperlink ref="Q26" r:id="rId25" display="https://thewillnews.com/nigeria-register-biggest-ever-win-in-10-nil-thrashing-of-sao-tome/"/>
    <hyperlink ref="Q27" r:id="rId26" display="https://businessday.ng/news/article/rashidi-yekini-10-things-to-know-about-the-iconic-striker/"/>
    <hyperlink ref="Q28" r:id="rId27" display="https://www.planetfootball.com/nostalgia/jay-jay-okocha-nigeria-1998-world-cup-france-spain-skilla-assists"/>
    <hyperlink ref="Q29" r:id="rId28" display="https://sportsvillagesquare.com/2019/08/15/nigeria-burkina-faso-african-games-match-marks-70-years-since-uk-tourists-ventured-out/"/>
    <hyperlink ref="Q30" r:id="rId29" display="https://soccernet.ng/2016/02/julius-aghahowa-5-things-super-eagles.html"/>
    <hyperlink ref="Q31" r:id="rId30" display="https://soccernet.ng/2026/09/super-eagles-morocco-fifa-guinea-bissau.html"/>
    <hyperlink ref="Q32" r:id="rId31" display="https://www.asmonaco.com/en/news/victor-ikpeba-certain-beat-my-record"/>
    <hyperlink ref="Q33" r:id="rId32" display="https://archivi.ng/the-archivist/stories/issue-4/green-eagles-of-nigeria-at-afcon-1980"/>
    <hyperlink ref="Q34" r:id="rId33" display="https://www.nba.com/news/history-nba-legend-hakeem-olajuwon"/>
    <hyperlink ref="Q35" r:id="rId34" display="https://www.enca.com/lifestyle/eid-festivities-north-nigeria-make-unesco-heritage-list"/>
    <hyperlink ref="Q36" r:id="rId35" display="https://www.aljazeera.com/gallery/2026/2/15/nigerias-argungu-fishing-contest-marks-return-after-years-of-pause"/>
    <hyperlink ref="Q37" r:id="rId36" display="https://www.africanews.com/amp/2021/04/26/african-born-champions-take-over-ufc-by-storm/"/>
    <hyperlink ref="Q38" r:id="rId37" display="https://en.wikipedia.org/wiki/World_Scrabble_Championship_2015"/>
    <hyperlink ref="Q39" r:id="rId38" display="https://www.ufc.com/athlete/israel-adesanya"/>
    <hyperlink ref="Q40" r:id="rId39" display="https://www.ufc.com/athlete/kamaru-usman"/>
    <hyperlink ref="Q41" r:id="rId40" display="https://andscape.com/features/bucks-giannis-antetokounmpo-greek-freak-wants-to-go-back-to-his-nigerian-roots"/>
    <hyperlink ref="Q42" r:id="rId41" display="https://www.icirnigeria.org/tunde-onakoya-sets-new-gwr-with-64-hour-chess-marathon-in-new-york/"/>
    <hyperlink ref="Q43" r:id="rId42" display="https://www.boston.com/sports/olympics/2018/02/20/nigeria-savors-its-olympic-bobsled-debut-moment/"/>
    <hyperlink ref="Q44" r:id="rId43" display="https://en.wikipedia.org/wiki/Chika_Chukwumerije"/>
    <hyperlink ref="Q45" r:id="rId44" display="https://en.wikipedia.org/wiki/Dick_Tiger"/>
    <hyperlink ref="Q46" r:id="rId45" display="https://en.wikipedia.org/wiki/Hogan_Bassey"/>
    <hyperlink ref="Q47" r:id="rId46" display="https://en.wikipedia.org/wiki/Anthony_Joshua"/>
    <hyperlink ref="Q48" r:id="rId47" display="https://en.wikipedia.org/wiki/Masai_Ujiri"/>
    <hyperlink ref="Q49" r:id="rId48" display="https://en.wikipedia.org/wiki/2021_BAL_season"/>
    <hyperlink ref="Q50" r:id="rId49" display="https://en.wikipedia.org/wiki/Dambe"/>
    <hyperlink ref="Q51" r:id="rId50" display="https://en.wikipedia.org/wiki/Lutte_Traditionnelle"/>
    <hyperlink ref="Q52" r:id="rId51" display="https://en.wikipedia.org/wiki/Blessing_Oborududu"/>
    <hyperlink ref="Q53" r:id="rId52" display="https://en.wikipedia.org/wiki/Daniel_Igali"/>
    <hyperlink ref="Q54" r:id="rId53" display="https://www.guinnessworldrecords.com/world-records/longest-chess-marathon"/>
    <hyperlink ref="Q55" r:id="rId54" display="https://www.liverpoolfootprint.co.uk/boxers"/>
    <hyperlink ref="Q56" r:id="rId55" display="https://en.wikipedia.org/wiki/2012_FIBA_World_Olympic_Qualifying_Tournament_for_Men"/>
    <hyperlink ref="Q57" r:id="rId56" display="https://en.wikipedia.org/wiki/Quadri_Aruna"/>
    <hyperlink ref="Q58" r:id="rId57" display="https://www.olympedia.org/athletes/1014"/>
    <hyperlink ref="Q59" r:id="rId58" display="https://en.wikipedia.org/wiki/Odunayo_Adekuoroye"/>
    <hyperlink ref="Q60" r:id="rId59" display="https://newtelegraphng.com/?p=444625"/>
    <hyperlink ref="Q61" r:id="rId60" display="https://en.wikipedia.org/wiki/Samuel_Peter"/>
    <hyperlink ref="Q62" r:id="rId61" display="https://www.fiba.basketball/en/events/fiba-womens-afrobasket-qualifiers-2027/all-time-medalists-"/>
    <hyperlink ref="Q63" r:id="rId62" display="https://www.infobae.com/aroundtherings/federations/2021/07/12/nigeria-beat-angola-in-afrobasket-2015-final-to-win-first-ever-continental-title"/>
    <hyperlink ref="Q64" r:id="rId63" display="https://www.olympedia.org/athletes/1023"/>
    <hyperlink ref="Q65" r:id="rId64" display="https://thisdaylive.com/index.php/2022/07/30/birmingham-2022-olarinoye-wins-nigerias-first-gold-medal"/>
    <hyperlink ref="Q66" r:id="rId65" display="https://en.wikipedia.org/wiki/Enyimba_International_F.C."/>
    <hyperlink ref="Q67" r:id="rId66" display="https://thisdaylive.com/index.php/2016/09/05/npfl-rangers-hammer-rivers-united-to-go-top"/>
    <hyperlink ref="Q68" r:id="rId67" display="https://www.premierleague.com/news/2284536"/>
    <hyperlink ref="Q69" r:id="rId68" display="https://www.goal.com/en-gb/news/victor-osimhen-becomes-first-african-player-to-win-serie-a-golden-boot-but-has-man-utd-linked-striker-played-his-final-game-for-napoli/blt6595f4f1f4d88449"/>
    <hyperlink ref="Q70" r:id="rId69" display="https://en.wikipedia.org/wiki/Moshood_Abiola_National_Stadium"/>
    <hyperlink ref="Q71" r:id="rId70" display="https://thisdaylive.com/index.php/2024/12/15/npfl-kano-pillars-crumble-under-shooting-stars"/>
    <hyperlink ref="Q72" r:id="rId71" display="https://en.wikipedia.org/wiki/Kano_Pillars_F.C."/>
    <hyperlink ref="Q73" r:id="rId72" display="https://leadership.ng/kaduna-state-takes-helm-of-ahmadu-bello-stadium-for-major-redevelopment/"/>
    <hyperlink ref="Q74" r:id="rId73" display="https://www.aljazeera.com/sports/2024/5/23/europa-league-final-nigerias-lookman-the-hero-as-atalanta-stun-leverkusen"/>
    <hyperlink ref="Q75" r:id="rId74" display="https://www.planetfootball.com/nostalgia/tribute-amazing-jay-jay-okocha-great-bolton-team"/>
    <hyperlink ref="Q76" r:id="rId75" display="https://en.wikipedia.org/wiki/Adokiye_Amiesimaka_Stadium"/>
    <hyperlink ref="Q77" r:id="rId76" display="https://en.wikipedia.org/wiki/2003_CAF_Champions_League_final"/>
    <hyperlink ref="Q78" r:id="rId77" display="https://en.wikipedia.org/wiki/Heartland_F.C."/>
    <hyperlink ref="Q79" r:id="rId78" display="https://www.primebusiness.africa/as-super-eagles-fly-home-to-the-nest/"/>
    <hyperlink ref="Q80" r:id="rId79" display="https://en.wikipedia.org/wiki/2021%E2%80%9322_Nigeria_Professional_Football_League"/>
    <hyperlink ref="Q81" r:id="rId80" display="https://dailytrust.com/how-soon-will-lobi-stars-return-home/"/>
    <hyperlink ref="Q82" r:id="rId81" display="https://www.flashscore.com/news/el-kanemi-warriors-beat-abia-warriors-to-win-president-federation-cup/801JXETk"/>
    <hyperlink ref="Q83" r:id="rId82" display="https://www.premierleague.com/news/2284536"/>
    <hyperlink ref="Q84" r:id="rId83" display="https://www.goal.com/en-ng/news/nigerias-first-ever-world-cup-goal-rashidi-yekinis-five-most/bltc027164d12c41895"/>
    <hyperlink ref="Q85" r:id="rId84" display="https://sportsvillagesquare.com/2019/12/03/onikan-stadium-renamed-after-1st-lagos-governor-mobolaji-johnson/"/>
    <hyperlink ref="Q86" r:id="rId85" display="https://www.flashscore.com/news/soccer-npfl-remo-stars-secure-place-among-npfl-s-elite-after-first-ever-title-triumph/4In8PRIN"/>
    <hyperlink ref="Q87" r:id="rId86" display="https://en.wikipedia.org/wiki/2004_CAF_Champions_League"/>
    <hyperlink ref="Q88" r:id="rId87" display="https://en.wikipedia.org/wiki/Shooting_Stars_S.C."/>
    <hyperlink ref="Q89" r:id="rId88" display="https://sportsvillagesquare.com/2024/03/11/sixty-six-years-after-foundation-laying-liberty-stadium-lives-on-glorious-past"/>
    <hyperlink ref="Q90" r:id="rId89" display="https://sscnapoli.it/en/osimhen-capocannoniere-e-primo-calciatore-africano-a-segnare-26-reti-in-un-solo-campionato-di-serie-a/"/>
    <hyperlink ref="Q91" r:id="rId90" display="https://www.bellanaija.com/?p=493401"/>
    <hyperlink ref="Q92" r:id="rId91" display="https://www.asmonaco.com/en/news/victor-ikpeba-certain-beat-my-record"/>
    <hyperlink ref="Q93" r:id="rId92" display="https://en.wikipedia.org/wiki/BCC_Lions_F.C."/>
    <hyperlink ref="Q94" r:id="rId93" display="https://en.wikipedia.org/wiki/Kadiri_Ikhana"/>
    <hyperlink ref="Q95" r:id="rId94" display="https://en.wikipedia.org/wiki/Rivers_United_F.C."/>
    <hyperlink ref="Q96" r:id="rId95" display="https://en.wikipedia.org/wiki/Jay-Jay_Okocha"/>
    <hyperlink ref="Q97" r:id="rId96" display="https://en.wikipedia.org/wiki/1994_CAF_Cup"/>
    <hyperlink ref="Q98" r:id="rId97" display="https://www.cafonline.com/caf-womens-africa-cup-of-nations/news/justine-madugu-how-wafcon-2024-success-changed-my-life/"/>
    <hyperlink ref="Q99" r:id="rId98" display="https://en.wikipedia.org/wiki/Women%27s_Africa_Cup_of_Nations"/>
    <hyperlink ref="Q100" r:id="rId99" display="https://allafrica.com/stories/202511200443.html"/>
    <hyperlink ref="Q101" r:id="rId100" display="https://www.africanews.com/amp/2023/07/27/womens-world-cup-nigeria-beats-australia-3-2-in-shock-win/"/>
    <hyperlink ref="Q102" r:id="rId101" display="https://www.cafonline.com/caf-womens-africa-cup-of-nations/news/nigeria-produce-stunning-comeback-to-beat-morocco-and-win-10th-wafcon-title/"/>
    <hyperlink ref="Q103" r:id="rId102" display="https://radionigerialagos.gov.ng/asisat-oshoala-makes-history-as-first-african-woman-to-win-champions-league/"/>
    <hyperlink ref="Q104" r:id="rId103" display="https://en.wikipedia.org/wiki/Nigeria_women%27s_national_football_team"/>
    <hyperlink ref="Q105" r:id="rId104" display="https://www.africanews.com/amp/2023/07/21/womens-world-cup-nigeria-hooks-canada-heroic-nnadozie/"/>
    <hyperlink ref="Q106" r:id="rId105" display="https://panafricafootball.com/article/nigeria-dominate-wafcon-2024-individual-awards"/>
    <hyperlink ref="Q107" r:id="rId106" display="https://allafrica.com/stories/202511200443.html"/>
    <hyperlink ref="Q108" r:id="rId107" display="https://www.arise.tv/super-falcons-stage-thrilling-comeback-to-win-record-10th-wafcon-title-against-hosts-morocco"/>
    <hyperlink ref="Q109" r:id="rId108" display="https://inside.fifa.com/news/akide-remembers-nigeria-s-amazing-1999-adventure-2804713"/>
    <hyperlink ref="Q110" r:id="rId109" display="https://www.cafonline.com/caf-womens-africa-cup-of-nations/news/6-days-to-go-until-the-women-s-afcon-perpetua-nkwocha-the-queen-of-johannesburg/"/>
    <hyperlink ref="Q111" r:id="rId110" display="https://www.cafonline.com/caf-womens-africa-cup-of-nations/news/nigeria-s-winning-spirit-through-generations-from-trailblazers-to-torchbearers/"/>
    <hyperlink ref="Q112" r:id="rId111" display="https://ripplesnigeria.com/golden-eaglets-retain-u-17-world-cup"/>
    <hyperlink ref="Q113" r:id="rId112" display="https://www.aljazeera.com/sports/2013/11/9/nigeria-crowned-under-17-world-cup-champions"/>
    <hyperlink ref="Q114" r:id="rId113" display="https://www.fcbarcelona.com/en/news/1096460/years-since-argentina-and-leo-messi-won-u-world-cup"/>
    <hyperlink ref="Q115" r:id="rId114" display="https://sportsvillagesquare.com/2020/08/11/this-day-in-history-nigeria-rule-the-world"/>
    <hyperlink ref="Q116" r:id="rId115" display="https://www.soccerwire.com/news/nigerians-wins-fifa-u-17-world-cup-final-2-0-over-mali/"/>
    <hyperlink ref="Q117" r:id="rId116" display="https://equalizersoccer.com/2014/08/24/germany-beats-nigeria-wins-fifa-u-20-womens-world-cup-canada-extra-time/"/>
    <hyperlink ref="Q118" r:id="rId117" display="https://en.wikipedia.org/wiki/2009_FIFA_U-17_World_Cup"/>
    <hyperlink ref="Q119" r:id="rId118" display="https://en.wikipedia.org/wiki/1993_FIFA_U-17_World_Championship"/>
    <hyperlink ref="Q120" r:id="rId119" display="https://en.wikipedia.org/wiki/Miracle_of_Dammam"/>
    <hyperlink ref="Q121" r:id="rId120" display="https://thisdaylive.com/index.php/2023/04/27/ugbade-dreams-making-history-as-first-u17-winner-and-coach"/>
    <hyperlink ref="Q122" r:id="rId121" display="https://en.wikipedia.org/wiki/1993_FIFA_U-17_World_Championship"/>
    <hyperlink ref="Q123" r:id="rId122" display="https://thisdaylive.com/index.php/2022/10/30/gallant-flamingos-beat-germany-to-win-u17-world-cup-bronze"/>
    <hyperlink ref="Q124" r:id="rId123" display="https://en.wikipedia.org/wiki/Football_at_the_1996_Summer_Olympics_%E2%80%93_Men%27s_tournament"/>
    <hyperlink ref="Q125" r:id="rId124" display="https://www.olympedia.org/results/34098"/>
    <hyperlink ref="Q126" r:id="rId125" display="https://inside.fifa.com/en/news/africa-s-golden-olympic-history"/>
    <hyperlink ref="Q127" r:id="rId126" display="https://inside.fifa.com/en/news/africa-s-golden-olympic-history"/>
    <hyperlink ref="Q128" r:id="rId127" display="https://thisdaylive.com/index.php/2016/08/13/oghenekaro-eteboeye-on-olympic-gold"/>
    <hyperlink ref="Q129" r:id="rId128" display="https://en.wikipedia.org/wiki/Football_at_the_1996_Summer_Olympics_%E2%80%93_Men%27s_tournament"/>
    <hyperlink ref="Q130" r:id="rId129" display="https://en.wikipedia.org/wiki/Chioma_Ajunwa"/>
    <hyperlink ref="Q131" r:id="rId130" display="https://en.wikipedia.org/wiki/2003_All-Africa_Games"/>
    <hyperlink ref="Q132" r:id="rId131" display="https://en.wikipedia.org/wiki/Nigerian_National_Sports_Festival"/>
    <hyperlink ref="Q133" r:id="rId132" display="https://en.wikipedia.org/wiki/Blessing_Oborududu"/>
    <hyperlink ref="Q134" r:id="rId133" display="https://en.wikipedia.org/wiki/Lucy_Ejike"/>
    <hyperlink ref="Q135" r:id="rId134" display="https://en.wikipedia.org/wiki/Athletics_at_the_2000_Summer_Olympics_%E2%80%93_Men%27s_4_%C3%97_400_metres_relay"/>
    <hyperlink ref="Q136" r:id="rId135" display="https://en.wikipedia.org/wiki/Nigeria_at_the_2020_Summer_Olympics"/>
    <hyperlink ref="Q137" r:id="rId136" display="https://www.paralympic.org/paris-2024/feature/nigeria-mariam-eniola-bolaji-makes-her-mark"/>
    <hyperlink ref="Q138" r:id="rId137" display="https://en.wikipedia.org/wiki/Nigerian_National_Sports_Festival"/>
    <hyperlink ref="Q139" r:id="rId138" display="https://en.wikipedia.org/wiki/Nigeria_at_the_Olympics"/>
    <hyperlink ref="Q140" r:id="rId139" display="https://gazettengr.com/team-nigeria-finishes-top-ten-in-2026-glasgow-commonwealth-games/"/>
    <hyperlink ref="Q141" r:id="rId140" display="https://en.wikipedia.org/wiki/Falilat_Ogunkoya"/>
    <hyperlink ref="Q142" r:id="rId141" display="https://von.gov.ng/ese-brume-breaks-chioma-ajunwas-25-year-long-jump-record/"/>
    <hyperlink ref="Q143" r:id="rId142" display="https://en.wikipedia.org/wiki/Tobi_Amusan"/>
    <hyperlink ref="Q144" r:id="rId143" display="https://en.wikipedia.org/wiki/2018_African_Championships_in_Athletics"/>
    <hyperlink ref="Q145" r:id="rId144" display="https://en.wikipedia.org/wiki/1973_All-Africa_Games"/>
    <hyperlink ref="Q146" r:id="rId145" display="https://en.wikipedia.org/wiki/2023_African_Games"/>
    <hyperlink ref="Q147" r:id="rId146" display="https://leadership.ng/15-games-to-headline-2026-national-sports-festival-as-nsc-announces-opening-ceremony-date/"/>
    <hyperlink ref="Q148" r:id="rId147" display="https://gazettengr.com/commonwealth-games-nathaniel-strikes-gold-in-mens-400m-hurdles-onwuzurike-clinches-200m-silver/"/>
    <hyperlink ref="Q149" r:id="rId148" display="https://thisdaylive.com/index.php/2016/09/13/onye-wins-team-nigerias-first-track-field-gold-medal"/>
    <hyperlink ref="Q150" r:id="rId149" display="https://en.wikipedia.org/wiki/Mary_Onyali-Omagbemi"/>
    <hyperlink ref="Q151" r:id="rId150" display="https://en.wikipedia.org/wiki/Glory_Alozie"/>
    <hyperlink ref="Q152" r:id="rId151" display="https://en.wikipedia.org/wiki/Nigeria_at_the_1992_Summer_Paralympics"/>
    <hyperlink ref="Q153" r:id="rId152" display="https://en.wikipedia.org/wiki/Bids_for_the_2014_Commonwealth_Games"/>
    <hyperlink ref="Q154" r:id="rId153" display="https://www.paralympic.org/paris-2024/feature/nigeria-onyinyechi-mark-debuts-historic-gold-record"/>
    <hyperlink ref="Q155" r:id="rId154" display="https://en.wikipedia.org/wiki/Nigeria_at_the_Olympics"/>
    <hyperlink ref="Q156" r:id="rId155" display="https://en.wikipedia.org/wiki/Sunday_Bada"/>
    <hyperlink ref="Q157" r:id="rId156" display="https://en.wikipedia.org/wiki/Nigerian_National_Sports_Festival"/>
    <hyperlink ref="Q158" r:id="rId157" display="https://en.wikipedia.org/wiki/Nigeria_at_the_2003_All-Africa_Games"/>
    <hyperlink ref="Q159" r:id="rId158" display="https://en.wikipedia.org/wiki/Nigeria_at_the_Olympic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2026-10-28T14:40:12Z</dcterms:created>
  <dc:creator>openpyxl</dc:creator>
  <dc:description/>
  <dc:language>en-US</dc:language>
  <cp:lastModifiedBy/>
  <dcterms:modified xsi:type="dcterms:W3CDTF">2026-10-28T14:40:12Z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