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Slang" sheetId="2" state="visible" r:id="rId4"/>
    <sheet name="Nollywood" sheetId="3" state="visible" r:id="rId5"/>
    <sheet name="Music" sheetId="4" state="visible" r:id="rId6"/>
    <sheet name="Food" sheetId="5" state="visible" r:id="rId7"/>
    <sheet name="Mixed" sheetId="6" state="visible" r:id="rId8"/>
    <sheet name="Sport" sheetId="7" state="visible" r:id="rId9"/>
  </sheets>
  <definedNames>
    <definedName function="false" hidden="true" localSheetId="4" name="_xlnm._FilterDatabase" vbProcedure="false">Food!$A$1:$V$2</definedName>
    <definedName function="false" hidden="true" localSheetId="5" name="_xlnm._FilterDatabase" vbProcedure="false">Mixed!$A$1:$V$2</definedName>
    <definedName function="false" hidden="true" localSheetId="3" name="_xlnm._FilterDatabase" vbProcedure="false">Music!$A$1:$V$2</definedName>
    <definedName function="false" hidden="true" localSheetId="2" name="_xlnm._FilterDatabase" vbProcedure="false">Nollywood!$A$1:$V$2</definedName>
    <definedName function="false" hidden="true" localSheetId="1" name="_xlnm._FilterDatabase" vbProcedure="false">Slang!$A$1:$V$2</definedName>
    <definedName function="false" hidden="true" localSheetId="6" name="_xlnm._FilterDatabase" vbProcedure="false">Sport!$A$1:$V$33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Arial"/>
            <family val="2"/>
          </rPr>
          <t xml:space="preserve">Target from docs/04 §1: 600 approved questions per category at launch. Blue = an input you can change.</t>
        </r>
      </text>
    </comment>
  </commentList>
</comments>
</file>

<file path=xl/sharedStrings.xml><?xml version="1.0" encoding="utf-8"?>
<sst xmlns="http://schemas.openxmlformats.org/spreadsheetml/2006/main" count="741" uniqueCount="312">
  <si>
    <t xml:space="preserve">Who Sabi? question bank</t>
  </si>
  <si>
    <t xml:space="preserve">Built 2026-10-28 from the CSV files in docs/content/question-bank/. Counts update when you change a review_status.</t>
  </si>
  <si>
    <t xml:space="preserve">Category</t>
  </si>
  <si>
    <t xml:space="preserve">Questions</t>
  </si>
  <si>
    <t xml:space="preserve">To check</t>
  </si>
  <si>
    <t xml:space="preserve">Approved</t>
  </si>
  <si>
    <t xml:space="preserve">Fix needed</t>
  </si>
  <si>
    <t xml:space="preserve">Rejected</t>
  </si>
  <si>
    <t xml:space="preserve">Launch target</t>
  </si>
  <si>
    <t xml:space="preserve">Approved vs target</t>
  </si>
  <si>
    <t xml:space="preserve">Slang &amp; Pidgin</t>
  </si>
  <si>
    <t xml:space="preserve">Nollywood</t>
  </si>
  <si>
    <t xml:space="preserve">Music</t>
  </si>
  <si>
    <t xml:space="preserve">Food</t>
  </si>
  <si>
    <t xml:space="preserve">Mixed Naija</t>
  </si>
  <si>
    <t xml:space="preserve">Sport</t>
  </si>
  <si>
    <t xml:space="preserve">Total</t>
  </si>
  <si>
    <t xml:space="preserve">Difficulty mix (all questions)</t>
  </si>
  <si>
    <t xml:space="preserve">Doc 04 target</t>
  </si>
  <si>
    <t xml:space="preserve">Level 1</t>
  </si>
  <si>
    <t xml:space="preserve">Level 2</t>
  </si>
  <si>
    <t xml:space="preserve">Level 3</t>
  </si>
  <si>
    <t xml:space="preserve">Level 4</t>
  </si>
  <si>
    <t xml:space="preserve">Level 5</t>
  </si>
  <si>
    <t xml:space="preserve">How to review</t>
  </si>
  <si>
    <t xml:space="preserve">1. Open a category sheet. Each row is one question; the right answer is always option_a (the game shuffles options).</t>
  </si>
  <si>
    <t xml:space="preserve">2. Open the source_url and check the fact, the spelling and that only one answer is right.</t>
  </si>
  <si>
    <t xml:space="preserve">3. Fill in only the yellow columns: review_status (approved, fix needed or rejected), reviewer, review_notes.</t>
  </si>
  <si>
    <t xml:space="preserve">   Example: approved | Ada | Checked on the CAF site, spelling fine.</t>
  </si>
  <si>
    <t xml:space="preserve">4. Upload the saved workbook to GitHub (same name, same folder) or send it back; the next build copies your marks into the CSVs.</t>
  </si>
  <si>
    <t xml:space="preserve">Only approved questions go into the game. Anything starting "As of October 2026" expires on its valid_until date.</t>
  </si>
  <si>
    <t xml:space="preserve">id</t>
  </si>
  <si>
    <t xml:space="preserve">category</t>
  </si>
  <si>
    <t xml:space="preserve">subcategory</t>
  </si>
  <si>
    <t xml:space="preserve">type</t>
  </si>
  <si>
    <t xml:space="preserve">difficulty</t>
  </si>
  <si>
    <t xml:space="preserve">question</t>
  </si>
  <si>
    <t xml:space="preserve">option_a</t>
  </si>
  <si>
    <t xml:space="preserve">option_b</t>
  </si>
  <si>
    <t xml:space="preserve">option_c</t>
  </si>
  <si>
    <t xml:space="preserve">option_d</t>
  </si>
  <si>
    <t xml:space="preserve">correct_option</t>
  </si>
  <si>
    <t xml:space="preserve">fact</t>
  </si>
  <si>
    <t xml:space="preserve">family_safe</t>
  </si>
  <si>
    <t xml:space="preserve">valid_until</t>
  </si>
  <si>
    <t xml:space="preserve">region_tag</t>
  </si>
  <si>
    <t xml:space="preserve">status</t>
  </si>
  <si>
    <t xml:space="preserve">source_url</t>
  </si>
  <si>
    <t xml:space="preserve">source_title</t>
  </si>
  <si>
    <t xml:space="preserve">added_on</t>
  </si>
  <si>
    <t xml:space="preserve">review_status</t>
  </si>
  <si>
    <t xml:space="preserve">reviewer</t>
  </si>
  <si>
    <t xml:space="preserve">review_notes</t>
  </si>
  <si>
    <t xml:space="preserve">SPT-0001</t>
  </si>
  <si>
    <t xml:space="preserve">sport</t>
  </si>
  <si>
    <t xml:space="preserve">super-eagles</t>
  </si>
  <si>
    <t xml:space="preserve">mcq4</t>
  </si>
  <si>
    <t xml:space="preserve">What was the Super Eagles' nickname before it was changed in 1988?</t>
  </si>
  <si>
    <t xml:space="preserve">Green Eagles</t>
  </si>
  <si>
    <t xml:space="preserve">Flying Eagles</t>
  </si>
  <si>
    <t xml:space="preserve">Golden Eaglets</t>
  </si>
  <si>
    <t xml:space="preserve">Dream Team</t>
  </si>
  <si>
    <t xml:space="preserve">a</t>
  </si>
  <si>
    <t xml:space="preserve">The name "Green Eagles" was proposed in a 1961 Daily Times article; before that, the team was the Red Devils.</t>
  </si>
  <si>
    <t xml:space="preserve">true</t>
  </si>
  <si>
    <t xml:space="preserve">ALL</t>
  </si>
  <si>
    <t xml:space="preserve">draft</t>
  </si>
  <si>
    <t xml:space="preserve">https://sportsvillagesquare.com/?p=79212</t>
  </si>
  <si>
    <t xml:space="preserve">Sports Village Square — Veterans salute ex-Green Eagles manager Osugo</t>
  </si>
  <si>
    <t xml:space="preserve">2026-10-28</t>
  </si>
  <si>
    <t xml:space="preserve">to check</t>
  </si>
  <si>
    <t xml:space="preserve">Sources disagree on when the 'Red Devils' nickname was used, so the fact line gives no year for it.</t>
  </si>
  <si>
    <t xml:space="preserve">SPT-0002</t>
  </si>
  <si>
    <t xml:space="preserve">In which year did Nigeria win its first Africa Cup of Nations title?</t>
  </si>
  <si>
    <t xml:space="preserve">1980</t>
  </si>
  <si>
    <t xml:space="preserve">1976</t>
  </si>
  <si>
    <t xml:space="preserve">1984</t>
  </si>
  <si>
    <t xml:space="preserve">1988</t>
  </si>
  <si>
    <t xml:space="preserve">Nigeria hosted that tournament and beat Algeria 3–0 in the final at the National Stadium in Lagos.</t>
  </si>
  <si>
    <t xml:space="preserve">https://archivi.ng/the-archivist/stories/issue-4/green-eagles-of-nigeria-at-afcon-1980</t>
  </si>
  <si>
    <t xml:space="preserve">Archivi.ng — The Green Eagles who won AFCON 1980</t>
  </si>
  <si>
    <t xml:space="preserve">SPT-0003</t>
  </si>
  <si>
    <t xml:space="preserve">Which coach led Nigeria to the 2013 Africa Cup of Nations title?</t>
  </si>
  <si>
    <t xml:space="preserve">Stephen Keshi</t>
  </si>
  <si>
    <t xml:space="preserve">Clemens Westerhof</t>
  </si>
  <si>
    <t xml:space="preserve">Gernot Rohr</t>
  </si>
  <si>
    <t xml:space="preserve">Samson Siasia</t>
  </si>
  <si>
    <t xml:space="preserve">Keshi had won AFCON as a player in 1994, matching Egypt's Mahmoud El-Gohary as a champion both on the pitch and in the dugout.</t>
  </si>
  <si>
    <t xml:space="preserve">https://www.aljazeera.com/sports/2013/2/11/nigeria-triumphs-at-africa-cup-of-nations</t>
  </si>
  <si>
    <t xml:space="preserve">Al Jazeera — Nigeria triumphs at AFCON 2013</t>
  </si>
  <si>
    <t xml:space="preserve">SPT-0004</t>
  </si>
  <si>
    <t xml:space="preserve">At which FIFA World Cup did Nigeria's senior men make their debut?</t>
  </si>
  <si>
    <t xml:space="preserve">USA 1994</t>
  </si>
  <si>
    <t xml:space="preserve">Italy 1990</t>
  </si>
  <si>
    <t xml:space="preserve">France 1998</t>
  </si>
  <si>
    <t xml:space="preserve">Mexico 1986</t>
  </si>
  <si>
    <t xml:space="preserve">On debut Nigeria topped a group with Argentina, Bulgaria and Greece, then reached the round of 16.</t>
  </si>
  <si>
    <t xml:space="preserve">https://inside.fifa.com/en/news/worldcupathome-nigeria-italy-1994-baggio-comeback</t>
  </si>
  <si>
    <t xml:space="preserve">FIFA — Baggio comeback sees Italy oust Nigeria (1994)</t>
  </si>
  <si>
    <t xml:space="preserve">SPT-0005</t>
  </si>
  <si>
    <t xml:space="preserve">Which Super Eagles legend was popularly known as "Jay-Jay"?</t>
  </si>
  <si>
    <t xml:space="preserve">Okocha</t>
  </si>
  <si>
    <t xml:space="preserve">Kanu</t>
  </si>
  <si>
    <t xml:space="preserve">Oliseh</t>
  </si>
  <si>
    <t xml:space="preserve">Amokachi</t>
  </si>
  <si>
    <t xml:space="preserve">He inherited the nickname from his elder brother James. Bolton fans sang that he was "so good they named him twice".</t>
  </si>
  <si>
    <t xml:space="preserve">https://en.wikipedia.org/wiki/Jay-Jay_Okocha</t>
  </si>
  <si>
    <t xml:space="preserve">Wikipedia — Jay-Jay Okocha</t>
  </si>
  <si>
    <t xml:space="preserve">SPT-0006</t>
  </si>
  <si>
    <t xml:space="preserve">Who scored Nigeria's first-ever goal at a FIFA World Cup?</t>
  </si>
  <si>
    <t xml:space="preserve">Rashidi Yekini</t>
  </si>
  <si>
    <t xml:space="preserve">Daniel Amokachi</t>
  </si>
  <si>
    <t xml:space="preserve">Emmanuel Amuneke</t>
  </si>
  <si>
    <t xml:space="preserve">Finidi George</t>
  </si>
  <si>
    <t xml:space="preserve">It came against Bulgaria on 21 June 1994 from a Finidi George cross. Yekini's celebration, gripping the net, became iconic.</t>
  </si>
  <si>
    <t xml:space="preserve">https://www.goal.com/en-us/news/nigerias-first-ever-world-cup-goal-and-the-five-most/blt4192f0869e6dcbd2</t>
  </si>
  <si>
    <t xml:space="preserve">Goal.com — Nigeria's first-ever World Cup goal</t>
  </si>
  <si>
    <t xml:space="preserve">SPT-0007</t>
  </si>
  <si>
    <t xml:space="preserve">Super Eagles great Nwankwo Kanu is popularly known by which nickname?</t>
  </si>
  <si>
    <t xml:space="preserve">Papilo</t>
  </si>
  <si>
    <t xml:space="preserve">Chairman</t>
  </si>
  <si>
    <t xml:space="preserve">Big Boss</t>
  </si>
  <si>
    <t xml:space="preserve">The Bull</t>
  </si>
  <si>
    <t xml:space="preserve">Kanu was named African Footballer of the Year twice, in 1996 and again in 1999.</t>
  </si>
  <si>
    <t xml:space="preserve">https://www.legit.ng/sports/football/1690304-arsenal-legend-kanu-nwankwo-papilo-sends-strong-message-super-eagles-uganda-clash/</t>
  </si>
  <si>
    <t xml:space="preserve">Legit.ng — Kanu 'Papilo' message to the Super Eagles</t>
  </si>
  <si>
    <t xml:space="preserve">The fact line (African Footballer of the Year 1996 and 1999) comes from These Football Times, not the linked page.</t>
  </si>
  <si>
    <t xml:space="preserve">SPT-0008</t>
  </si>
  <si>
    <t xml:space="preserve">Nigeria won the 2013 Africa Cup of Nations in which host country?</t>
  </si>
  <si>
    <t xml:space="preserve">South Africa</t>
  </si>
  <si>
    <t xml:space="preserve">Equatorial Guinea</t>
  </si>
  <si>
    <t xml:space="preserve">Gabon</t>
  </si>
  <si>
    <t xml:space="preserve">Ghana</t>
  </si>
  <si>
    <t xml:space="preserve">The final was played at Soccer City in Soweto. The title ended a 19-year wait for Nigeria's third AFCON crown.</t>
  </si>
  <si>
    <t xml:space="preserve">SPT-0009</t>
  </si>
  <si>
    <t xml:space="preserve">Clemens Westerhof, who took Nigeria to its first World Cup, came from which country?</t>
  </si>
  <si>
    <t xml:space="preserve">Netherlands</t>
  </si>
  <si>
    <t xml:space="preserve">Germany</t>
  </si>
  <si>
    <t xml:space="preserve">Belgium</t>
  </si>
  <si>
    <t xml:space="preserve">Denmark</t>
  </si>
  <si>
    <t xml:space="preserve">Before winning AFCON 1994, Westerhof's Nigeria finished second in 1990 and third in 1992.</t>
  </si>
  <si>
    <t xml:space="preserve">https://sportsvillagesquare.com/2020/05/02/ex-super-eagles-manager-clemens-westerhof-clocks-80</t>
  </si>
  <si>
    <t xml:space="preserve">Sports Village Square — Clemens Westerhof clocks 80</t>
  </si>
  <si>
    <t xml:space="preserve">SPT-0010</t>
  </si>
  <si>
    <t xml:space="preserve">Which brand made Nigeria's 2018 World Cup kit that sold out within minutes of release?</t>
  </si>
  <si>
    <t xml:space="preserve">Nike</t>
  </si>
  <si>
    <t xml:space="preserve">Adidas</t>
  </si>
  <si>
    <t xml:space="preserve">Puma</t>
  </si>
  <si>
    <t xml:space="preserve">Umbro</t>
  </si>
  <si>
    <t xml:space="preserve">It went on sale on 1 June 2018; Nike UK said all three Nigeria jerseys had sold out, with no plans to restock.</t>
  </si>
  <si>
    <t xml:space="preserve">https://www.thescore.com/news/1552695</t>
  </si>
  <si>
    <t xml:space="preserve">theScore — Nigeria's World Cup kit sells out in minutes</t>
  </si>
  <si>
    <t xml:space="preserve">SPT-0011</t>
  </si>
  <si>
    <t xml:space="preserve">Former Super Eagles captain and coach Stephen Keshi was affectionately called what?</t>
  </si>
  <si>
    <t xml:space="preserve">Mathematical</t>
  </si>
  <si>
    <t xml:space="preserve">As a coach, Keshi also led Togo to their first-ever World Cup qualification, for the 2006 finals.</t>
  </si>
  <si>
    <t xml:space="preserve">https://www.aljazeera.com/sports/2018/1/23/stephen-keshi-why-google-honours-him-today</t>
  </si>
  <si>
    <t xml:space="preserve">Al Jazeera — Stephen Keshi: why Google honours him</t>
  </si>
  <si>
    <t xml:space="preserve">SPT-0012</t>
  </si>
  <si>
    <t xml:space="preserve">Who scored the only goal of the 2013 AFCON final against Burkina Faso?</t>
  </si>
  <si>
    <t xml:space="preserve">Sunday Mba</t>
  </si>
  <si>
    <t xml:space="preserve">Emmanuel Emenike</t>
  </si>
  <si>
    <t xml:space="preserve">Victor Moses</t>
  </si>
  <si>
    <t xml:space="preserve">Ikechukwu Uche</t>
  </si>
  <si>
    <t xml:space="preserve">Mba flicked the ball over a defender and fired in a left-foot shot on 40 minutes at Soccer City, Soweto.</t>
  </si>
  <si>
    <t xml:space="preserve">SPT-0013</t>
  </si>
  <si>
    <t xml:space="preserve">Nigeria beat which team in the final of the 1994 Africa Cup of Nations?</t>
  </si>
  <si>
    <t xml:space="preserve">Zambia</t>
  </si>
  <si>
    <t xml:space="preserve">Ivory Coast</t>
  </si>
  <si>
    <t xml:space="preserve">Mali</t>
  </si>
  <si>
    <t xml:space="preserve">Egypt</t>
  </si>
  <si>
    <t xml:space="preserve">Emmanuel Amuneke came off the bench for the final in Tunisia and scored both of Nigeria's goals.</t>
  </si>
  <si>
    <t xml:space="preserve">https://www.thisdaylive.com/2022/10/01/emmanuel-amuneke-mission-to-zambia/</t>
  </si>
  <si>
    <t xml:space="preserve">ThisDay — Emmanuel Amuneke: Mission to Zambia</t>
  </si>
  <si>
    <t xml:space="preserve">SPT-0014</t>
  </si>
  <si>
    <t xml:space="preserve">Whose long-range strike gave Nigeria a 3–2 win over Spain at the 1998 World Cup?</t>
  </si>
  <si>
    <t xml:space="preserve">Sunday Oliseh</t>
  </si>
  <si>
    <t xml:space="preserve">Garba Lawal</t>
  </si>
  <si>
    <t xml:space="preserve">Mutiu Adepoju</t>
  </si>
  <si>
    <t xml:space="preserve">Victor Ikpeba</t>
  </si>
  <si>
    <t xml:space="preserve">The win in Nantes helped Nigeria top a group that also included Bulgaria and Paraguay.</t>
  </si>
  <si>
    <t xml:space="preserve">https://www.planetfootball.com/nostalgia/jay-jay-okocha-nigeria-1998-world-cup-france-spain-skilla-assists</t>
  </si>
  <si>
    <t xml:space="preserve">Planet Football — Nigeria at the 1998 World Cup</t>
  </si>
  <si>
    <t xml:space="preserve">SPT-0015</t>
  </si>
  <si>
    <t xml:space="preserve">Which country knocked Nigeria out in the round of 16 at their World Cup debut?</t>
  </si>
  <si>
    <t xml:space="preserve">Italy</t>
  </si>
  <si>
    <t xml:space="preserve">Argentina</t>
  </si>
  <si>
    <t xml:space="preserve">Brazil</t>
  </si>
  <si>
    <t xml:space="preserve">Bulgaria</t>
  </si>
  <si>
    <t xml:space="preserve">Amuneke put Nigeria ahead, but Roberto Baggio equalised in the 88th minute and won it with an extra-time penalty.</t>
  </si>
  <si>
    <t xml:space="preserve">SPT-0016</t>
  </si>
  <si>
    <t xml:space="preserve">Which team beat Nigeria 2–0 in the round of 16 at the 2014 World Cup?</t>
  </si>
  <si>
    <t xml:space="preserve">France</t>
  </si>
  <si>
    <t xml:space="preserve">The match was in Brasília. Paul Pogba's 79th-minute header broke the deadlock, and a stoppage-time goal sealed it.</t>
  </si>
  <si>
    <t xml:space="preserve">https://www.cbsnews.com/amp/news/world-cup-2014-france-wins-a-deceptively-close-2-0-game-against-nigeria</t>
  </si>
  <si>
    <t xml:space="preserve">CBS News — France beat Nigeria 2-0 (2014 World Cup)</t>
  </si>
  <si>
    <t xml:space="preserve">SPT-0017</t>
  </si>
  <si>
    <t xml:space="preserve">What is Jay-Jay Okocha's real first name?</t>
  </si>
  <si>
    <t xml:space="preserve">Augustine</t>
  </si>
  <si>
    <t xml:space="preserve">Emmanuel</t>
  </si>
  <si>
    <t xml:space="preserve">Sunday</t>
  </si>
  <si>
    <t xml:space="preserve">Daniel</t>
  </si>
  <si>
    <t xml:space="preserve">Okocha won 73 caps for Nigeria between 1993 and 2006 and was in the squad that won AFCON 1994.</t>
  </si>
  <si>
    <t xml:space="preserve">SPT-0018</t>
  </si>
  <si>
    <t xml:space="preserve">Which Nigerian was named Player of the Tournament at AFCON 2023?</t>
  </si>
  <si>
    <t xml:space="preserve">William Troost-Ekong</t>
  </si>
  <si>
    <t xml:space="preserve">Ademola Lookman</t>
  </si>
  <si>
    <t xml:space="preserve">Victor Osimhen</t>
  </si>
  <si>
    <t xml:space="preserve">Ola Aina</t>
  </si>
  <si>
    <t xml:space="preserve">Nigeria finished runners-up to hosts Côte d'Ivoire, but their captain still won CAF's TotalEnergies Best Player award.</t>
  </si>
  <si>
    <t xml:space="preserve">https://www.cafonline.com/caf-africa-cup-of-nations/news/totalenergies-caf-afcon-cote-d-ivoire-2023-awards/</t>
  </si>
  <si>
    <t xml:space="preserve">CAF — AFCON Côte d'Ivoire 2023 awards</t>
  </si>
  <si>
    <t xml:space="preserve">SPT-0019</t>
  </si>
  <si>
    <t xml:space="preserve">closest_number</t>
  </si>
  <si>
    <t xml:space="preserve">As of October 2026, how many FIFA World Cups have Nigeria's senior men played at?</t>
  </si>
  <si>
    <t xml:space="preserve">6</t>
  </si>
  <si>
    <t xml:space="preserve">Nigeria missed out on 2026 after losing a November 2025 playoff final to DR Congo on penalties in Rabat.</t>
  </si>
  <si>
    <t xml:space="preserve">2027-10-31</t>
  </si>
  <si>
    <t xml:space="preserve">https://www.aljazeera.com/sports/2025/11/16/dr-congo-shock-nigeria-on-penalties-to-win-african-world-cup-playoffs</t>
  </si>
  <si>
    <t xml:space="preserve">Al Jazeera — DR Congo beat Nigeria on penalties (Nov 2025)</t>
  </si>
  <si>
    <t xml:space="preserve">SPT-0020</t>
  </si>
  <si>
    <t xml:space="preserve">As of October 2026, which player holds the record for the most Super Eagles caps?</t>
  </si>
  <si>
    <t xml:space="preserve">Ahmed Musa</t>
  </si>
  <si>
    <t xml:space="preserve">Vincent Enyeama</t>
  </si>
  <si>
    <t xml:space="preserve">Joseph Yobo</t>
  </si>
  <si>
    <t xml:space="preserve">Mikel John Obi</t>
  </si>
  <si>
    <t xml:space="preserve">Musa retired from international football in December 2025 and was part of the 2013 AFCON-winning squad.</t>
  </si>
  <si>
    <t xml:space="preserve">https://www.arise.tv/nff-salutes-ahmed-musas-legacy-as-nigerias-most-capped-player-retires/</t>
  </si>
  <si>
    <t xml:space="preserve">Arise News — NFF salutes Ahmed Musa's legacy (Dec 2025)</t>
  </si>
  <si>
    <t xml:space="preserve">Check before approving: Moses Simon and Alex Iwobi are close to Ahmed Musa's caps record and could pass him; sources differ on Musa's total (110 or 111).</t>
  </si>
  <si>
    <t xml:space="preserve">SPT-0021</t>
  </si>
  <si>
    <t xml:space="preserve">Winger Segun Odegbami, a hero of Nigeria's first AFCON win, had which nickname?</t>
  </si>
  <si>
    <t xml:space="preserve">Odegbami scored twice in the 3–0 final win over Algeria; the nickname reflects the precision of his dribbling.</t>
  </si>
  <si>
    <t xml:space="preserve">SPT-0022</t>
  </si>
  <si>
    <t xml:space="preserve">Who captained Nigeria to their first Africa Cup of Nations title?</t>
  </si>
  <si>
    <t xml:space="preserve">Christian Chukwu</t>
  </si>
  <si>
    <t xml:space="preserve">Segun Odegbami</t>
  </si>
  <si>
    <t xml:space="preserve">Muda Lawal</t>
  </si>
  <si>
    <t xml:space="preserve">Best Ogedegbe</t>
  </si>
  <si>
    <t xml:space="preserve">Fondly called "Chairman", Chukwu later coached the Super Eagles to third place at AFCON 2004 in Tunisia.</t>
  </si>
  <si>
    <t xml:space="preserve">https://nannews.ng/nigeria-lost-a-true-icon-in-chukwu-nsc-d-g/</t>
  </si>
  <si>
    <t xml:space="preserve">NAN — Nigeria lost a true icon in Chukwu</t>
  </si>
  <si>
    <t xml:space="preserve">SPT-0023</t>
  </si>
  <si>
    <t xml:space="preserve">Who was the first Super Eagles player to reach 100 international caps?</t>
  </si>
  <si>
    <t xml:space="preserve">Nwankwo Kanu</t>
  </si>
  <si>
    <t xml:space="preserve">Yobo's 100th cap came against France in the round of 16 of the 2014 World Cup.</t>
  </si>
  <si>
    <t xml:space="preserve">https://www.foxnews.com/sports/joseph-yobo-announces-international-retirement-after-scoring-own-goal-in-100th-cap-for-nigeria.amp</t>
  </si>
  <si>
    <t xml:space="preserve">Fox News/AP — Yobo's 100th cap for Nigeria (2014)</t>
  </si>
  <si>
    <t xml:space="preserve">SPT-0024</t>
  </si>
  <si>
    <t xml:space="preserve">Who became the first Nigerian to score at two different World Cups, in 2018?</t>
  </si>
  <si>
    <t xml:space="preserve">Odion Ighalo</t>
  </si>
  <si>
    <t xml:space="preserve">Kelechi Iheanacho</t>
  </si>
  <si>
    <t xml:space="preserve">His double against Iceland in Volgograd followed two goals against Argentina at the 2014 finals.</t>
  </si>
  <si>
    <t xml:space="preserve">https://www.beinsports.com/en-mena/articles-video/2018-fifa-world-cup-nigeria-beat-iceland-2-0-</t>
  </si>
  <si>
    <t xml:space="preserve">beIN Sports — Nigeria beat Iceland 2-0 (2018)</t>
  </si>
  <si>
    <t xml:space="preserve">SPT-0025</t>
  </si>
  <si>
    <t xml:space="preserve">As of October 2026, Nigeria's biggest-ever win, 10–0 in 2022, was against which team?</t>
  </si>
  <si>
    <t xml:space="preserve">São Tomé and Príncipe</t>
  </si>
  <si>
    <t xml:space="preserve">Seychelles</t>
  </si>
  <si>
    <t xml:space="preserve">Djibouti</t>
  </si>
  <si>
    <t xml:space="preserve">Mauritius</t>
  </si>
  <si>
    <t xml:space="preserve">Victor Osimhen scored four in Agadir. The old record was a 10–1 win over Dahomey (now Benin) in 1959.</t>
  </si>
  <si>
    <t xml:space="preserve">https://thewillnews.com/nigeria-register-biggest-ever-win-in-10-nil-thrashing-of-sao-tome/</t>
  </si>
  <si>
    <t xml:space="preserve">The Will — Nigeria's biggest-ever win, 10-0 v São Tomé</t>
  </si>
  <si>
    <t xml:space="preserve">SPT-0026</t>
  </si>
  <si>
    <t xml:space="preserve">How many goals did Rashidi Yekini score for Nigeria in his international career?</t>
  </si>
  <si>
    <t xml:space="preserve">37</t>
  </si>
  <si>
    <t xml:space="preserve">In 1993, Yekini became the first Nigerian to be named African Footballer of the Year.</t>
  </si>
  <si>
    <t xml:space="preserve">https://businessday.ng/news/article/rashidi-yekini-10-things-to-know-about-the-iconic-striker/</t>
  </si>
  <si>
    <t xml:space="preserve">BusinessDay — Rashidi Yekini: 10 things to know</t>
  </si>
  <si>
    <t xml:space="preserve">SPT-0027</t>
  </si>
  <si>
    <t xml:space="preserve">Who coached Nigeria at the 1998 World Cup in France?</t>
  </si>
  <si>
    <t xml:space="preserve">Bora Milutinović</t>
  </si>
  <si>
    <t xml:space="preserve">Jo Bonfrere</t>
  </si>
  <si>
    <t xml:space="preserve">Philippe Troussier</t>
  </si>
  <si>
    <t xml:space="preserve">He was appointed six months before the finals, having previously managed Mexico, Costa Rica and the USA.</t>
  </si>
  <si>
    <t xml:space="preserve">SPT-0028</t>
  </si>
  <si>
    <t xml:space="preserve">In 1949, Nigeria's pioneering footballers toured which country, often playing barefoot?</t>
  </si>
  <si>
    <t xml:space="preserve">United Kingdom</t>
  </si>
  <si>
    <t xml:space="preserve">Portugal</t>
  </si>
  <si>
    <t xml:space="preserve">The 18-man squad sailed on the MV Apapa, then beat Sierra Leone 2–0 in Freetown on the way home in October 1949.</t>
  </si>
  <si>
    <t xml:space="preserve">https://sportsvillagesquare.com/2019/08/15/nigeria-burkina-faso-african-games-match-marks-70-years-since-uk-tourists-ventured-out/</t>
  </si>
  <si>
    <t xml:space="preserve">Sports Village Square — 70 years since the UK Tourists</t>
  </si>
  <si>
    <t xml:space="preserve">SPT-0029</t>
  </si>
  <si>
    <t xml:space="preserve">Who scored Nigeria's only goal of the 2002 World Cup?</t>
  </si>
  <si>
    <t xml:space="preserve">Julius Aghahowa</t>
  </si>
  <si>
    <t xml:space="preserve">Jay-Jay Okocha</t>
  </si>
  <si>
    <t xml:space="preserve">Bartholomew Ogbeche</t>
  </si>
  <si>
    <t xml:space="preserve">His header against Sweden came from a Joseph Yobo cross, and he celebrated with his trademark backflips.</t>
  </si>
  <si>
    <t xml:space="preserve">https://soccernet.ng/2016/02/julius-aghahowa-5-things-super-eagles.html</t>
  </si>
  <si>
    <t xml:space="preserve">Soccernet.ng — Julius Aghahowa: 5 things</t>
  </si>
  <si>
    <t xml:space="preserve">SPT-0030</t>
  </si>
  <si>
    <t xml:space="preserve">As of October 2026, what is the highest FIFA ranking Nigeria's men have ever reached?</t>
  </si>
  <si>
    <t xml:space="preserve">5</t>
  </si>
  <si>
    <t xml:space="preserve">The Super Eagles climbed to that position in April 1994, a few months before their first World Cup.</t>
  </si>
  <si>
    <t xml:space="preserve">https://soccernet.ng/2026/09/super-eagles-morocco-fifa-guinea-bissau.html</t>
  </si>
  <si>
    <t xml:space="preserve">Soccernet.ng — Nigeria's best FIFA ranking (Sep 2026)</t>
  </si>
  <si>
    <t xml:space="preserve">SPT-0031</t>
  </si>
  <si>
    <t xml:space="preserve">Which Nigerian, nicknamed the "Prince of Monaco", was African Footballer of the Year in 1997?</t>
  </si>
  <si>
    <t xml:space="preserve">Taribo West</t>
  </si>
  <si>
    <t xml:space="preserve">Celestine Babayaro</t>
  </si>
  <si>
    <t xml:space="preserve">A Nigerian reporter coined the nickname after he said he was "living like a prince" in Monaco.</t>
  </si>
  <si>
    <t xml:space="preserve">https://www.asmonaco.com/en/news/victor-ikpeba-certain-beat-my-record</t>
  </si>
  <si>
    <t xml:space="preserve">AS Monaco — Victor Ikpeba interview</t>
  </si>
  <si>
    <t xml:space="preserve">SPT-0032</t>
  </si>
  <si>
    <t xml:space="preserve">Which coach guided Nigeria to their first Africa Cup of Nations title?</t>
  </si>
  <si>
    <t xml:space="preserve">Otto Glória</t>
  </si>
  <si>
    <t xml:space="preserve">Manfred Höner</t>
  </si>
  <si>
    <t xml:space="preserve">Adegboye Onigbinde</t>
  </si>
  <si>
    <t xml:space="preserve">Tiko Jelisavčić</t>
  </si>
  <si>
    <t xml:space="preserve">The Brazilian had earlier guided Portugal to third place at the 1966 World Cup.</t>
  </si>
  <si>
    <t xml:space="preserve">Check the spelling of the three wrong options (former Nigeria coaches); they were not checked on the web.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</si>
</sst>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u val="single"/>
      <sz val="10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8751"/>
        <bgColor rgb="FF00808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0875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751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sportsvillagesquare.com/?p=79212" TargetMode="External"/><Relationship Id="rId2" Type="http://schemas.openxmlformats.org/officeDocument/2006/relationships/hyperlink" Target="https://archivi.ng/the-archivist/stories/issue-4/green-eagles-of-nigeria-at-afcon-1980" TargetMode="External"/><Relationship Id="rId3" Type="http://schemas.openxmlformats.org/officeDocument/2006/relationships/hyperlink" Target="https://www.aljazeera.com/sports/2013/2/11/nigeria-triumphs-at-africa-cup-of-nations" TargetMode="External"/><Relationship Id="rId4" Type="http://schemas.openxmlformats.org/officeDocument/2006/relationships/hyperlink" Target="https://inside.fifa.com/en/news/worldcupathome-nigeria-italy-1994-baggio-comeback" TargetMode="External"/><Relationship Id="rId5" Type="http://schemas.openxmlformats.org/officeDocument/2006/relationships/hyperlink" Target="https://en.wikipedia.org/wiki/Jay-Jay_Okocha" TargetMode="External"/><Relationship Id="rId6" Type="http://schemas.openxmlformats.org/officeDocument/2006/relationships/hyperlink" Target="https://www.goal.com/en-us/news/nigerias-first-ever-world-cup-goal-and-the-five-most/blt4192f0869e6dcbd2" TargetMode="External"/><Relationship Id="rId7" Type="http://schemas.openxmlformats.org/officeDocument/2006/relationships/hyperlink" Target="https://www.legit.ng/sports/football/1690304-arsenal-legend-kanu-nwankwo-papilo-sends-strong-message-super-eagles-uganda-clash/" TargetMode="External"/><Relationship Id="rId8" Type="http://schemas.openxmlformats.org/officeDocument/2006/relationships/hyperlink" Target="https://www.aljazeera.com/sports/2013/2/11/nigeria-triumphs-at-africa-cup-of-nations" TargetMode="External"/><Relationship Id="rId9" Type="http://schemas.openxmlformats.org/officeDocument/2006/relationships/hyperlink" Target="https://sportsvillagesquare.com/2020/05/02/ex-super-eagles-manager-clemens-westerhof-clocks-80" TargetMode="External"/><Relationship Id="rId10" Type="http://schemas.openxmlformats.org/officeDocument/2006/relationships/hyperlink" Target="https://www.thescore.com/news/1552695" TargetMode="External"/><Relationship Id="rId11" Type="http://schemas.openxmlformats.org/officeDocument/2006/relationships/hyperlink" Target="https://www.aljazeera.com/sports/2018/1/23/stephen-keshi-why-google-honours-him-today" TargetMode="External"/><Relationship Id="rId12" Type="http://schemas.openxmlformats.org/officeDocument/2006/relationships/hyperlink" Target="https://www.aljazeera.com/sports/2013/2/11/nigeria-triumphs-at-africa-cup-of-nations" TargetMode="External"/><Relationship Id="rId13" Type="http://schemas.openxmlformats.org/officeDocument/2006/relationships/hyperlink" Target="https://www.thisdaylive.com/2022/10/01/emmanuel-amuneke-mission-to-zambia/" TargetMode="External"/><Relationship Id="rId14" Type="http://schemas.openxmlformats.org/officeDocument/2006/relationships/hyperlink" Target="https://www.planetfootball.com/nostalgia/jay-jay-okocha-nigeria-1998-world-cup-france-spain-skilla-assists" TargetMode="External"/><Relationship Id="rId15" Type="http://schemas.openxmlformats.org/officeDocument/2006/relationships/hyperlink" Target="https://inside.fifa.com/en/news/worldcupathome-nigeria-italy-1994-baggio-comeback" TargetMode="External"/><Relationship Id="rId16" Type="http://schemas.openxmlformats.org/officeDocument/2006/relationships/hyperlink" Target="https://www.cbsnews.com/amp/news/world-cup-2014-france-wins-a-deceptively-close-2-0-game-against-nigeria" TargetMode="External"/><Relationship Id="rId17" Type="http://schemas.openxmlformats.org/officeDocument/2006/relationships/hyperlink" Target="https://en.wikipedia.org/wiki/Jay-Jay_Okocha" TargetMode="External"/><Relationship Id="rId18" Type="http://schemas.openxmlformats.org/officeDocument/2006/relationships/hyperlink" Target="https://www.cafonline.com/caf-africa-cup-of-nations/news/totalenergies-caf-afcon-cote-d-ivoire-2023-awards/" TargetMode="External"/><Relationship Id="rId19" Type="http://schemas.openxmlformats.org/officeDocument/2006/relationships/hyperlink" Target="https://www.aljazeera.com/sports/2025/11/16/dr-congo-shock-nigeria-on-penalties-to-win-african-world-cup-playoffs" TargetMode="External"/><Relationship Id="rId20" Type="http://schemas.openxmlformats.org/officeDocument/2006/relationships/hyperlink" Target="https://www.arise.tv/nff-salutes-ahmed-musas-legacy-as-nigerias-most-capped-player-retires/" TargetMode="External"/><Relationship Id="rId21" Type="http://schemas.openxmlformats.org/officeDocument/2006/relationships/hyperlink" Target="https://archivi.ng/the-archivist/stories/issue-4/green-eagles-of-nigeria-at-afcon-1980" TargetMode="External"/><Relationship Id="rId22" Type="http://schemas.openxmlformats.org/officeDocument/2006/relationships/hyperlink" Target="https://nannews.ng/nigeria-lost-a-true-icon-in-chukwu-nsc-d-g/" TargetMode="External"/><Relationship Id="rId23" Type="http://schemas.openxmlformats.org/officeDocument/2006/relationships/hyperlink" Target="https://www.foxnews.com/sports/joseph-yobo-announces-international-retirement-after-scoring-own-goal-in-100th-cap-for-nigeria.amp" TargetMode="External"/><Relationship Id="rId24" Type="http://schemas.openxmlformats.org/officeDocument/2006/relationships/hyperlink" Target="https://www.beinsports.com/en-mena/articles-video/2018-fifa-world-cup-nigeria-beat-iceland-2-0-" TargetMode="External"/><Relationship Id="rId25" Type="http://schemas.openxmlformats.org/officeDocument/2006/relationships/hyperlink" Target="https://thewillnews.com/nigeria-register-biggest-ever-win-in-10-nil-thrashing-of-sao-tome/" TargetMode="External"/><Relationship Id="rId26" Type="http://schemas.openxmlformats.org/officeDocument/2006/relationships/hyperlink" Target="https://businessday.ng/news/article/rashidi-yekini-10-things-to-know-about-the-iconic-striker/" TargetMode="External"/><Relationship Id="rId27" Type="http://schemas.openxmlformats.org/officeDocument/2006/relationships/hyperlink" Target="https://www.planetfootball.com/nostalgia/jay-jay-okocha-nigeria-1998-world-cup-france-spain-skilla-assists" TargetMode="External"/><Relationship Id="rId28" Type="http://schemas.openxmlformats.org/officeDocument/2006/relationships/hyperlink" Target="https://sportsvillagesquare.com/2019/08/15/nigeria-burkina-faso-african-games-match-marks-70-years-since-uk-tourists-ventured-out/" TargetMode="External"/><Relationship Id="rId29" Type="http://schemas.openxmlformats.org/officeDocument/2006/relationships/hyperlink" Target="https://soccernet.ng/2016/02/julius-aghahowa-5-things-super-eagles.html" TargetMode="External"/><Relationship Id="rId30" Type="http://schemas.openxmlformats.org/officeDocument/2006/relationships/hyperlink" Target="https://soccernet.ng/2026/09/super-eagles-morocco-fifa-guinea-bissau.html" TargetMode="External"/><Relationship Id="rId31" Type="http://schemas.openxmlformats.org/officeDocument/2006/relationships/hyperlink" Target="https://www.asmonaco.com/en/news/victor-ikpeba-certain-beat-my-record" TargetMode="External"/><Relationship Id="rId32" Type="http://schemas.openxmlformats.org/officeDocument/2006/relationships/hyperlink" Target="https://archivi.ng/the-archivist/stories/issue-4/green-eagles-of-nigeria-at-afcon-1980" TargetMode="External"/><Relationship Id="rId33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2" t="s">
        <v>10</v>
      </c>
      <c r="B5" s="2" t="n">
        <f aca="false">COUNTA(Slang!A:A)-1</f>
        <v>0</v>
      </c>
      <c r="C5" s="2" t="n">
        <f aca="false">COUNTIF(Slang!T:T,"to check")</f>
        <v>0</v>
      </c>
      <c r="D5" s="2" t="n">
        <f aca="false">COUNTIF(Slang!T:T,"approved")</f>
        <v>0</v>
      </c>
      <c r="E5" s="2" t="n">
        <f aca="false">COUNTIF(Slang!T:T,"fix needed")</f>
        <v>0</v>
      </c>
      <c r="F5" s="2" t="n">
        <f aca="false">COUNTIF(Slang!T:T,"rejected")</f>
        <v>0</v>
      </c>
      <c r="G5" s="4" t="n">
        <v>600</v>
      </c>
      <c r="H5" s="5" t="n">
        <f aca="false">IF(G5=0,0,D5/G5)</f>
        <v>0</v>
      </c>
    </row>
    <row r="6" customFormat="false" ht="15" hidden="false" customHeight="false" outlineLevel="0" collapsed="false">
      <c r="A6" s="2" t="s">
        <v>11</v>
      </c>
      <c r="B6" s="2" t="n">
        <f aca="false">COUNTA(Nollywood!A:A)-1</f>
        <v>0</v>
      </c>
      <c r="C6" s="2" t="n">
        <f aca="false">COUNTIF(Nollywood!T:T,"to check")</f>
        <v>0</v>
      </c>
      <c r="D6" s="2" t="n">
        <f aca="false">COUNTIF(Nollywood!T:T,"approved")</f>
        <v>0</v>
      </c>
      <c r="E6" s="2" t="n">
        <f aca="false">COUNTIF(Nollywood!T:T,"fix needed")</f>
        <v>0</v>
      </c>
      <c r="F6" s="2" t="n">
        <f aca="false">COUNTIF(Nollywood!T:T,"rejected")</f>
        <v>0</v>
      </c>
      <c r="G6" s="4" t="n">
        <v>600</v>
      </c>
      <c r="H6" s="5" t="n">
        <f aca="false">IF(G6=0,0,D6/G6)</f>
        <v>0</v>
      </c>
    </row>
    <row r="7" customFormat="false" ht="15" hidden="false" customHeight="false" outlineLevel="0" collapsed="false">
      <c r="A7" s="2" t="s">
        <v>12</v>
      </c>
      <c r="B7" s="2" t="n">
        <f aca="false">COUNTA(Music!A:A)-1</f>
        <v>0</v>
      </c>
      <c r="C7" s="2" t="n">
        <f aca="false">COUNTIF(Music!T:T,"to check")</f>
        <v>0</v>
      </c>
      <c r="D7" s="2" t="n">
        <f aca="false">COUNTIF(Music!T:T,"approved")</f>
        <v>0</v>
      </c>
      <c r="E7" s="2" t="n">
        <f aca="false">COUNTIF(Music!T:T,"fix needed")</f>
        <v>0</v>
      </c>
      <c r="F7" s="2" t="n">
        <f aca="false">COUNTIF(Music!T:T,"rejected")</f>
        <v>0</v>
      </c>
      <c r="G7" s="4" t="n">
        <v>600</v>
      </c>
      <c r="H7" s="5" t="n">
        <f aca="false">IF(G7=0,0,D7/G7)</f>
        <v>0</v>
      </c>
    </row>
    <row r="8" customFormat="false" ht="15" hidden="false" customHeight="false" outlineLevel="0" collapsed="false">
      <c r="A8" s="2" t="s">
        <v>13</v>
      </c>
      <c r="B8" s="2" t="n">
        <f aca="false">COUNTA(Food!A:A)-1</f>
        <v>0</v>
      </c>
      <c r="C8" s="2" t="n">
        <f aca="false">COUNTIF(Food!T:T,"to check")</f>
        <v>0</v>
      </c>
      <c r="D8" s="2" t="n">
        <f aca="false">COUNTIF(Food!T:T,"approved")</f>
        <v>0</v>
      </c>
      <c r="E8" s="2" t="n">
        <f aca="false">COUNTIF(Food!T:T,"fix needed")</f>
        <v>0</v>
      </c>
      <c r="F8" s="2" t="n">
        <f aca="false">COUNTIF(Food!T:T,"rejected")</f>
        <v>0</v>
      </c>
      <c r="G8" s="4" t="n">
        <v>600</v>
      </c>
      <c r="H8" s="5" t="n">
        <f aca="false">IF(G8=0,0,D8/G8)</f>
        <v>0</v>
      </c>
    </row>
    <row r="9" customFormat="false" ht="15" hidden="false" customHeight="false" outlineLevel="0" collapsed="false">
      <c r="A9" s="2" t="s">
        <v>14</v>
      </c>
      <c r="B9" s="2" t="n">
        <f aca="false">COUNTA(Mixed!A:A)-1</f>
        <v>0</v>
      </c>
      <c r="C9" s="2" t="n">
        <f aca="false">COUNTIF(Mixed!T:T,"to check")</f>
        <v>0</v>
      </c>
      <c r="D9" s="2" t="n">
        <f aca="false">COUNTIF(Mixed!T:T,"approved")</f>
        <v>0</v>
      </c>
      <c r="E9" s="2" t="n">
        <f aca="false">COUNTIF(Mixed!T:T,"fix needed")</f>
        <v>0</v>
      </c>
      <c r="F9" s="2" t="n">
        <f aca="false">COUNTIF(Mixed!T:T,"rejected")</f>
        <v>0</v>
      </c>
      <c r="G9" s="4" t="n">
        <v>600</v>
      </c>
      <c r="H9" s="5" t="n">
        <f aca="false">IF(G9=0,0,D9/G9)</f>
        <v>0</v>
      </c>
    </row>
    <row r="10" customFormat="false" ht="15" hidden="false" customHeight="false" outlineLevel="0" collapsed="false">
      <c r="A10" s="2" t="s">
        <v>15</v>
      </c>
      <c r="B10" s="2" t="n">
        <f aca="false">COUNTA(Sport!A:A)-1</f>
        <v>32</v>
      </c>
      <c r="C10" s="2" t="n">
        <f aca="false">COUNTIF(Sport!T:T,"to check")</f>
        <v>32</v>
      </c>
      <c r="D10" s="2" t="n">
        <f aca="false">COUNTIF(Sport!T:T,"approved")</f>
        <v>0</v>
      </c>
      <c r="E10" s="2" t="n">
        <f aca="false">COUNTIF(Sport!T:T,"fix needed")</f>
        <v>0</v>
      </c>
      <c r="F10" s="2" t="n">
        <f aca="false">COUNTIF(Sport!T:T,"rejected")</f>
        <v>0</v>
      </c>
      <c r="G10" s="4" t="n">
        <v>600</v>
      </c>
      <c r="H10" s="5" t="n">
        <f aca="false">IF(G10=0,0,D10/G10)</f>
        <v>0</v>
      </c>
    </row>
    <row r="11" customFormat="false" ht="15" hidden="false" customHeight="false" outlineLevel="0" collapsed="false">
      <c r="A11" s="6" t="s">
        <v>16</v>
      </c>
      <c r="B11" s="6" t="n">
        <f aca="false">SUM(B5:B10)</f>
        <v>32</v>
      </c>
      <c r="C11" s="6" t="n">
        <f aca="false">SUM(C5:C10)</f>
        <v>32</v>
      </c>
      <c r="D11" s="6" t="n">
        <f aca="false">SUM(D5:D10)</f>
        <v>0</v>
      </c>
      <c r="E11" s="6" t="n">
        <f aca="false">SUM(E5:E10)</f>
        <v>0</v>
      </c>
      <c r="F11" s="6" t="n">
        <f aca="false">SUM(F5:F10)</f>
        <v>0</v>
      </c>
      <c r="G11" s="6" t="n">
        <f aca="false">SUM(G5:G10)</f>
        <v>3600</v>
      </c>
      <c r="H11" s="7" t="n">
        <f aca="false">IF(G11=0,0,D11/G11)</f>
        <v>0</v>
      </c>
    </row>
    <row r="13" customFormat="false" ht="15" hidden="false" customHeight="false" outlineLevel="0" collapsed="false">
      <c r="A13" s="3" t="s">
        <v>17</v>
      </c>
      <c r="B13" s="3" t="s">
        <v>10</v>
      </c>
      <c r="C13" s="3" t="s">
        <v>11</v>
      </c>
      <c r="D13" s="3" t="s">
        <v>12</v>
      </c>
      <c r="E13" s="3" t="s">
        <v>13</v>
      </c>
      <c r="F13" s="3" t="s">
        <v>14</v>
      </c>
      <c r="G13" s="3" t="s">
        <v>15</v>
      </c>
      <c r="H13" s="3" t="s">
        <v>18</v>
      </c>
    </row>
    <row r="14" customFormat="false" ht="15" hidden="false" customHeight="false" outlineLevel="0" collapsed="false">
      <c r="A14" s="2" t="s">
        <v>19</v>
      </c>
      <c r="B14" s="2" t="n">
        <f aca="false">COUNTIF(Slang!E:E,1)</f>
        <v>0</v>
      </c>
      <c r="C14" s="2" t="n">
        <f aca="false">COUNTIF(Nollywood!E:E,1)</f>
        <v>0</v>
      </c>
      <c r="D14" s="2" t="n">
        <f aca="false">COUNTIF(Music!E:E,1)</f>
        <v>0</v>
      </c>
      <c r="E14" s="2" t="n">
        <f aca="false">COUNTIF(Food!E:E,1)</f>
        <v>0</v>
      </c>
      <c r="F14" s="2" t="n">
        <f aca="false">COUNTIF(Mixed!E:E,1)</f>
        <v>0</v>
      </c>
      <c r="G14" s="2" t="n">
        <f aca="false">COUNTIF(Sport!E:E,1)</f>
        <v>5</v>
      </c>
      <c r="H14" s="8" t="n">
        <v>0.15</v>
      </c>
    </row>
    <row r="15" customFormat="false" ht="15" hidden="false" customHeight="false" outlineLevel="0" collapsed="false">
      <c r="A15" s="2" t="s">
        <v>20</v>
      </c>
      <c r="B15" s="2" t="n">
        <f aca="false">COUNTIF(Slang!E:E,2)</f>
        <v>0</v>
      </c>
      <c r="C15" s="2" t="n">
        <f aca="false">COUNTIF(Nollywood!E:E,2)</f>
        <v>0</v>
      </c>
      <c r="D15" s="2" t="n">
        <f aca="false">COUNTIF(Music!E:E,2)</f>
        <v>0</v>
      </c>
      <c r="E15" s="2" t="n">
        <f aca="false">COUNTIF(Food!E:E,2)</f>
        <v>0</v>
      </c>
      <c r="F15" s="2" t="n">
        <f aca="false">COUNTIF(Mixed!E:E,2)</f>
        <v>0</v>
      </c>
      <c r="G15" s="2" t="n">
        <f aca="false">COUNTIF(Sport!E:E,2)</f>
        <v>6</v>
      </c>
      <c r="H15" s="8" t="n">
        <v>0.2</v>
      </c>
    </row>
    <row r="16" customFormat="false" ht="15" hidden="false" customHeight="false" outlineLevel="0" collapsed="false">
      <c r="A16" s="2" t="s">
        <v>21</v>
      </c>
      <c r="B16" s="2" t="n">
        <f aca="false">COUNTIF(Slang!E:E,3)</f>
        <v>0</v>
      </c>
      <c r="C16" s="2" t="n">
        <f aca="false">COUNTIF(Nollywood!E:E,3)</f>
        <v>0</v>
      </c>
      <c r="D16" s="2" t="n">
        <f aca="false">COUNTIF(Music!E:E,3)</f>
        <v>0</v>
      </c>
      <c r="E16" s="2" t="n">
        <f aca="false">COUNTIF(Food!E:E,3)</f>
        <v>0</v>
      </c>
      <c r="F16" s="2" t="n">
        <f aca="false">COUNTIF(Mixed!E:E,3)</f>
        <v>0</v>
      </c>
      <c r="G16" s="2" t="n">
        <f aca="false">COUNTIF(Sport!E:E,3)</f>
        <v>10</v>
      </c>
      <c r="H16" s="8" t="n">
        <v>0.3</v>
      </c>
    </row>
    <row r="17" customFormat="false" ht="15" hidden="false" customHeight="false" outlineLevel="0" collapsed="false">
      <c r="A17" s="2" t="s">
        <v>22</v>
      </c>
      <c r="B17" s="2" t="n">
        <f aca="false">COUNTIF(Slang!E:E,4)</f>
        <v>0</v>
      </c>
      <c r="C17" s="2" t="n">
        <f aca="false">COUNTIF(Nollywood!E:E,4)</f>
        <v>0</v>
      </c>
      <c r="D17" s="2" t="n">
        <f aca="false">COUNTIF(Music!E:E,4)</f>
        <v>0</v>
      </c>
      <c r="E17" s="2" t="n">
        <f aca="false">COUNTIF(Food!E:E,4)</f>
        <v>0</v>
      </c>
      <c r="F17" s="2" t="n">
        <f aca="false">COUNTIF(Mixed!E:E,4)</f>
        <v>0</v>
      </c>
      <c r="G17" s="2" t="n">
        <f aca="false">COUNTIF(Sport!E:E,4)</f>
        <v>6</v>
      </c>
      <c r="H17" s="8" t="n">
        <v>0.2</v>
      </c>
    </row>
    <row r="18" customFormat="false" ht="15" hidden="false" customHeight="false" outlineLevel="0" collapsed="false">
      <c r="A18" s="2" t="s">
        <v>23</v>
      </c>
      <c r="B18" s="2" t="n">
        <f aca="false">COUNTIF(Slang!E:E,5)</f>
        <v>0</v>
      </c>
      <c r="C18" s="2" t="n">
        <f aca="false">COUNTIF(Nollywood!E:E,5)</f>
        <v>0</v>
      </c>
      <c r="D18" s="2" t="n">
        <f aca="false">COUNTIF(Music!E:E,5)</f>
        <v>0</v>
      </c>
      <c r="E18" s="2" t="n">
        <f aca="false">COUNTIF(Food!E:E,5)</f>
        <v>0</v>
      </c>
      <c r="F18" s="2" t="n">
        <f aca="false">COUNTIF(Mixed!E:E,5)</f>
        <v>0</v>
      </c>
      <c r="G18" s="2" t="n">
        <f aca="false">COUNTIF(Sport!E:E,5)</f>
        <v>5</v>
      </c>
      <c r="H18" s="8" t="n">
        <v>0.15</v>
      </c>
    </row>
    <row r="20" customFormat="false" ht="15" hidden="false" customHeight="false" outlineLevel="0" collapsed="false">
      <c r="A20" s="6" t="s">
        <v>24</v>
      </c>
    </row>
    <row r="21" customFormat="false" ht="15" hidden="false" customHeight="false" outlineLevel="0" collapsed="false">
      <c r="A21" s="2" t="s">
        <v>25</v>
      </c>
    </row>
    <row r="22" customFormat="false" ht="15" hidden="false" customHeight="false" outlineLevel="0" collapsed="false">
      <c r="A22" s="2" t="s">
        <v>26</v>
      </c>
    </row>
    <row r="23" customFormat="false" ht="15" hidden="false" customHeight="false" outlineLevel="0" collapsed="false">
      <c r="A23" s="2" t="s">
        <v>27</v>
      </c>
    </row>
    <row r="24" customFormat="false" ht="15" hidden="false" customHeight="false" outlineLevel="0" collapsed="false">
      <c r="A24" s="2" t="s">
        <v>28</v>
      </c>
    </row>
    <row r="25" customFormat="false" ht="15" hidden="false" customHeight="false" outlineLevel="0" collapsed="false">
      <c r="A25" s="2" t="s">
        <v>29</v>
      </c>
    </row>
    <row r="26" customFormat="false" ht="15" hidden="false" customHeight="false" outlineLevel="0" collapsed="false">
      <c r="A26" s="2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48"/>
    <col collapsed="false" customWidth="true" hidden="false" outlineLevel="0" max="11" min="7" style="0" width="14"/>
    <col collapsed="false" customWidth="true" hidden="false" outlineLevel="0" max="12" min="12" style="0" width="48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6" min="15" style="0" width="14"/>
    <col collapsed="false" customWidth="true" hidden="false" outlineLevel="0" max="17" min="17" style="0" width="30"/>
    <col collapsed="false" customWidth="true" hidden="false" outlineLevel="0" max="18" min="18" style="0" width="28"/>
    <col collapsed="false" customWidth="true" hidden="false" outlineLevel="0" max="21" min="19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9" t="s">
        <v>31</v>
      </c>
      <c r="B1" s="9" t="s">
        <v>32</v>
      </c>
      <c r="C1" s="9" t="s">
        <v>33</v>
      </c>
      <c r="D1" s="9" t="s">
        <v>34</v>
      </c>
      <c r="E1" s="9" t="s">
        <v>35</v>
      </c>
      <c r="F1" s="9" t="s">
        <v>36</v>
      </c>
      <c r="G1" s="9" t="s">
        <v>37</v>
      </c>
      <c r="H1" s="9" t="s">
        <v>38</v>
      </c>
      <c r="I1" s="9" t="s">
        <v>39</v>
      </c>
      <c r="J1" s="9" t="s">
        <v>40</v>
      </c>
      <c r="K1" s="9" t="s">
        <v>41</v>
      </c>
      <c r="L1" s="9" t="s">
        <v>42</v>
      </c>
      <c r="M1" s="9" t="s">
        <v>43</v>
      </c>
      <c r="N1" s="9" t="s">
        <v>44</v>
      </c>
      <c r="O1" s="9" t="s">
        <v>45</v>
      </c>
      <c r="P1" s="9" t="s">
        <v>46</v>
      </c>
      <c r="Q1" s="9" t="s">
        <v>47</v>
      </c>
      <c r="R1" s="9" t="s">
        <v>48</v>
      </c>
      <c r="S1" s="9" t="s">
        <v>49</v>
      </c>
      <c r="T1" s="9" t="s">
        <v>50</v>
      </c>
      <c r="U1" s="9" t="s">
        <v>51</v>
      </c>
      <c r="V1" s="9" t="s">
        <v>52</v>
      </c>
    </row>
  </sheetData>
  <autoFilter ref="A1:V2"/>
  <dataValidations count="1">
    <dataValidation allowBlank="true" errorStyle="stop" operator="between" showDropDown="false" showErrorMessage="false" showInputMessage="false" sqref="T2:T1001" type="list">
      <formula1>"to check,approved,fix needed,rejected"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48"/>
    <col collapsed="false" customWidth="true" hidden="false" outlineLevel="0" max="11" min="7" style="0" width="14"/>
    <col collapsed="false" customWidth="true" hidden="false" outlineLevel="0" max="12" min="12" style="0" width="48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6" min="15" style="0" width="14"/>
    <col collapsed="false" customWidth="true" hidden="false" outlineLevel="0" max="17" min="17" style="0" width="30"/>
    <col collapsed="false" customWidth="true" hidden="false" outlineLevel="0" max="18" min="18" style="0" width="28"/>
    <col collapsed="false" customWidth="true" hidden="false" outlineLevel="0" max="21" min="19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9" t="s">
        <v>31</v>
      </c>
      <c r="B1" s="9" t="s">
        <v>32</v>
      </c>
      <c r="C1" s="9" t="s">
        <v>33</v>
      </c>
      <c r="D1" s="9" t="s">
        <v>34</v>
      </c>
      <c r="E1" s="9" t="s">
        <v>35</v>
      </c>
      <c r="F1" s="9" t="s">
        <v>36</v>
      </c>
      <c r="G1" s="9" t="s">
        <v>37</v>
      </c>
      <c r="H1" s="9" t="s">
        <v>38</v>
      </c>
      <c r="I1" s="9" t="s">
        <v>39</v>
      </c>
      <c r="J1" s="9" t="s">
        <v>40</v>
      </c>
      <c r="K1" s="9" t="s">
        <v>41</v>
      </c>
      <c r="L1" s="9" t="s">
        <v>42</v>
      </c>
      <c r="M1" s="9" t="s">
        <v>43</v>
      </c>
      <c r="N1" s="9" t="s">
        <v>44</v>
      </c>
      <c r="O1" s="9" t="s">
        <v>45</v>
      </c>
      <c r="P1" s="9" t="s">
        <v>46</v>
      </c>
      <c r="Q1" s="9" t="s">
        <v>47</v>
      </c>
      <c r="R1" s="9" t="s">
        <v>48</v>
      </c>
      <c r="S1" s="9" t="s">
        <v>49</v>
      </c>
      <c r="T1" s="9" t="s">
        <v>50</v>
      </c>
      <c r="U1" s="9" t="s">
        <v>51</v>
      </c>
      <c r="V1" s="9" t="s">
        <v>52</v>
      </c>
    </row>
  </sheetData>
  <autoFilter ref="A1:V2"/>
  <dataValidations count="1">
    <dataValidation allowBlank="true" errorStyle="stop" operator="between" showDropDown="false" showErrorMessage="false" showInputMessage="false" sqref="T2:T1001" type="list">
      <formula1>"to check,approved,fix needed,rejected"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48"/>
    <col collapsed="false" customWidth="true" hidden="false" outlineLevel="0" max="11" min="7" style="0" width="14"/>
    <col collapsed="false" customWidth="true" hidden="false" outlineLevel="0" max="12" min="12" style="0" width="48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6" min="15" style="0" width="14"/>
    <col collapsed="false" customWidth="true" hidden="false" outlineLevel="0" max="17" min="17" style="0" width="30"/>
    <col collapsed="false" customWidth="true" hidden="false" outlineLevel="0" max="18" min="18" style="0" width="28"/>
    <col collapsed="false" customWidth="true" hidden="false" outlineLevel="0" max="21" min="19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9" t="s">
        <v>31</v>
      </c>
      <c r="B1" s="9" t="s">
        <v>32</v>
      </c>
      <c r="C1" s="9" t="s">
        <v>33</v>
      </c>
      <c r="D1" s="9" t="s">
        <v>34</v>
      </c>
      <c r="E1" s="9" t="s">
        <v>35</v>
      </c>
      <c r="F1" s="9" t="s">
        <v>36</v>
      </c>
      <c r="G1" s="9" t="s">
        <v>37</v>
      </c>
      <c r="H1" s="9" t="s">
        <v>38</v>
      </c>
      <c r="I1" s="9" t="s">
        <v>39</v>
      </c>
      <c r="J1" s="9" t="s">
        <v>40</v>
      </c>
      <c r="K1" s="9" t="s">
        <v>41</v>
      </c>
      <c r="L1" s="9" t="s">
        <v>42</v>
      </c>
      <c r="M1" s="9" t="s">
        <v>43</v>
      </c>
      <c r="N1" s="9" t="s">
        <v>44</v>
      </c>
      <c r="O1" s="9" t="s">
        <v>45</v>
      </c>
      <c r="P1" s="9" t="s">
        <v>46</v>
      </c>
      <c r="Q1" s="9" t="s">
        <v>47</v>
      </c>
      <c r="R1" s="9" t="s">
        <v>48</v>
      </c>
      <c r="S1" s="9" t="s">
        <v>49</v>
      </c>
      <c r="T1" s="9" t="s">
        <v>50</v>
      </c>
      <c r="U1" s="9" t="s">
        <v>51</v>
      </c>
      <c r="V1" s="9" t="s">
        <v>52</v>
      </c>
    </row>
  </sheetData>
  <autoFilter ref="A1:V2"/>
  <dataValidations count="1">
    <dataValidation allowBlank="true" errorStyle="stop" operator="between" showDropDown="false" showErrorMessage="false" showInputMessage="false" sqref="T2:T1001" type="list">
      <formula1>"to check,approved,fix needed,rejected"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48"/>
    <col collapsed="false" customWidth="true" hidden="false" outlineLevel="0" max="11" min="7" style="0" width="14"/>
    <col collapsed="false" customWidth="true" hidden="false" outlineLevel="0" max="12" min="12" style="0" width="48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6" min="15" style="0" width="14"/>
    <col collapsed="false" customWidth="true" hidden="false" outlineLevel="0" max="17" min="17" style="0" width="30"/>
    <col collapsed="false" customWidth="true" hidden="false" outlineLevel="0" max="18" min="18" style="0" width="28"/>
    <col collapsed="false" customWidth="true" hidden="false" outlineLevel="0" max="21" min="19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9" t="s">
        <v>31</v>
      </c>
      <c r="B1" s="9" t="s">
        <v>32</v>
      </c>
      <c r="C1" s="9" t="s">
        <v>33</v>
      </c>
      <c r="D1" s="9" t="s">
        <v>34</v>
      </c>
      <c r="E1" s="9" t="s">
        <v>35</v>
      </c>
      <c r="F1" s="9" t="s">
        <v>36</v>
      </c>
      <c r="G1" s="9" t="s">
        <v>37</v>
      </c>
      <c r="H1" s="9" t="s">
        <v>38</v>
      </c>
      <c r="I1" s="9" t="s">
        <v>39</v>
      </c>
      <c r="J1" s="9" t="s">
        <v>40</v>
      </c>
      <c r="K1" s="9" t="s">
        <v>41</v>
      </c>
      <c r="L1" s="9" t="s">
        <v>42</v>
      </c>
      <c r="M1" s="9" t="s">
        <v>43</v>
      </c>
      <c r="N1" s="9" t="s">
        <v>44</v>
      </c>
      <c r="O1" s="9" t="s">
        <v>45</v>
      </c>
      <c r="P1" s="9" t="s">
        <v>46</v>
      </c>
      <c r="Q1" s="9" t="s">
        <v>47</v>
      </c>
      <c r="R1" s="9" t="s">
        <v>48</v>
      </c>
      <c r="S1" s="9" t="s">
        <v>49</v>
      </c>
      <c r="T1" s="9" t="s">
        <v>50</v>
      </c>
      <c r="U1" s="9" t="s">
        <v>51</v>
      </c>
      <c r="V1" s="9" t="s">
        <v>52</v>
      </c>
    </row>
  </sheetData>
  <autoFilter ref="A1:V2"/>
  <dataValidations count="1">
    <dataValidation allowBlank="true" errorStyle="stop" operator="between" showDropDown="false" showErrorMessage="false" showInputMessage="false" sqref="T2:T1001" type="list">
      <formula1>"to check,approved,fix needed,rejected"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48"/>
    <col collapsed="false" customWidth="true" hidden="false" outlineLevel="0" max="11" min="7" style="0" width="14"/>
    <col collapsed="false" customWidth="true" hidden="false" outlineLevel="0" max="12" min="12" style="0" width="48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6" min="15" style="0" width="14"/>
    <col collapsed="false" customWidth="true" hidden="false" outlineLevel="0" max="17" min="17" style="0" width="30"/>
    <col collapsed="false" customWidth="true" hidden="false" outlineLevel="0" max="18" min="18" style="0" width="28"/>
    <col collapsed="false" customWidth="true" hidden="false" outlineLevel="0" max="21" min="19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9" t="s">
        <v>31</v>
      </c>
      <c r="B1" s="9" t="s">
        <v>32</v>
      </c>
      <c r="C1" s="9" t="s">
        <v>33</v>
      </c>
      <c r="D1" s="9" t="s">
        <v>34</v>
      </c>
      <c r="E1" s="9" t="s">
        <v>35</v>
      </c>
      <c r="F1" s="9" t="s">
        <v>36</v>
      </c>
      <c r="G1" s="9" t="s">
        <v>37</v>
      </c>
      <c r="H1" s="9" t="s">
        <v>38</v>
      </c>
      <c r="I1" s="9" t="s">
        <v>39</v>
      </c>
      <c r="J1" s="9" t="s">
        <v>40</v>
      </c>
      <c r="K1" s="9" t="s">
        <v>41</v>
      </c>
      <c r="L1" s="9" t="s">
        <v>42</v>
      </c>
      <c r="M1" s="9" t="s">
        <v>43</v>
      </c>
      <c r="N1" s="9" t="s">
        <v>44</v>
      </c>
      <c r="O1" s="9" t="s">
        <v>45</v>
      </c>
      <c r="P1" s="9" t="s">
        <v>46</v>
      </c>
      <c r="Q1" s="9" t="s">
        <v>47</v>
      </c>
      <c r="R1" s="9" t="s">
        <v>48</v>
      </c>
      <c r="S1" s="9" t="s">
        <v>49</v>
      </c>
      <c r="T1" s="9" t="s">
        <v>50</v>
      </c>
      <c r="U1" s="9" t="s">
        <v>51</v>
      </c>
      <c r="V1" s="9" t="s">
        <v>52</v>
      </c>
    </row>
  </sheetData>
  <autoFilter ref="A1:V2"/>
  <dataValidations count="1">
    <dataValidation allowBlank="true" errorStyle="stop" operator="between" showDropDown="false" showErrorMessage="false" showInputMessage="false" sqref="T2:T1001" type="list">
      <formula1>"to check,approved,fix needed,rejected"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48"/>
    <col collapsed="false" customWidth="true" hidden="false" outlineLevel="0" max="11" min="7" style="0" width="14"/>
    <col collapsed="false" customWidth="true" hidden="false" outlineLevel="0" max="12" min="12" style="0" width="48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6" min="15" style="0" width="14"/>
    <col collapsed="false" customWidth="true" hidden="false" outlineLevel="0" max="17" min="17" style="0" width="30"/>
    <col collapsed="false" customWidth="true" hidden="false" outlineLevel="0" max="18" min="18" style="0" width="28"/>
    <col collapsed="false" customWidth="true" hidden="false" outlineLevel="0" max="21" min="19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9" t="s">
        <v>31</v>
      </c>
      <c r="B1" s="9" t="s">
        <v>32</v>
      </c>
      <c r="C1" s="9" t="s">
        <v>33</v>
      </c>
      <c r="D1" s="9" t="s">
        <v>34</v>
      </c>
      <c r="E1" s="9" t="s">
        <v>35</v>
      </c>
      <c r="F1" s="9" t="s">
        <v>36</v>
      </c>
      <c r="G1" s="9" t="s">
        <v>37</v>
      </c>
      <c r="H1" s="9" t="s">
        <v>38</v>
      </c>
      <c r="I1" s="9" t="s">
        <v>39</v>
      </c>
      <c r="J1" s="9" t="s">
        <v>40</v>
      </c>
      <c r="K1" s="9" t="s">
        <v>41</v>
      </c>
      <c r="L1" s="9" t="s">
        <v>42</v>
      </c>
      <c r="M1" s="9" t="s">
        <v>43</v>
      </c>
      <c r="N1" s="9" t="s">
        <v>44</v>
      </c>
      <c r="O1" s="9" t="s">
        <v>45</v>
      </c>
      <c r="P1" s="9" t="s">
        <v>46</v>
      </c>
      <c r="Q1" s="9" t="s">
        <v>47</v>
      </c>
      <c r="R1" s="9" t="s">
        <v>48</v>
      </c>
      <c r="S1" s="9" t="s">
        <v>49</v>
      </c>
      <c r="T1" s="9" t="s">
        <v>50</v>
      </c>
      <c r="U1" s="9" t="s">
        <v>51</v>
      </c>
      <c r="V1" s="9" t="s">
        <v>52</v>
      </c>
    </row>
    <row r="2" customFormat="false" ht="35.05" hidden="false" customHeight="false" outlineLevel="0" collapsed="false">
      <c r="A2" s="10" t="s">
        <v>53</v>
      </c>
      <c r="B2" s="10" t="s">
        <v>54</v>
      </c>
      <c r="C2" s="10" t="s">
        <v>55</v>
      </c>
      <c r="D2" s="10" t="s">
        <v>56</v>
      </c>
      <c r="E2" s="10" t="n">
        <v>1</v>
      </c>
      <c r="F2" s="11" t="s">
        <v>57</v>
      </c>
      <c r="G2" s="10" t="s">
        <v>58</v>
      </c>
      <c r="H2" s="10" t="s">
        <v>59</v>
      </c>
      <c r="I2" s="10" t="s">
        <v>60</v>
      </c>
      <c r="J2" s="10" t="s">
        <v>61</v>
      </c>
      <c r="K2" s="10" t="s">
        <v>62</v>
      </c>
      <c r="L2" s="11" t="s">
        <v>63</v>
      </c>
      <c r="M2" s="10" t="s">
        <v>64</v>
      </c>
      <c r="N2" s="10"/>
      <c r="O2" s="10" t="s">
        <v>65</v>
      </c>
      <c r="P2" s="10" t="s">
        <v>66</v>
      </c>
      <c r="Q2" s="12" t="s">
        <v>67</v>
      </c>
      <c r="R2" s="10" t="s">
        <v>68</v>
      </c>
      <c r="S2" s="10" t="s">
        <v>69</v>
      </c>
      <c r="T2" s="13" t="s">
        <v>70</v>
      </c>
      <c r="U2" s="13"/>
      <c r="V2" s="14" t="s">
        <v>71</v>
      </c>
    </row>
    <row r="3" customFormat="false" ht="23.85" hidden="false" customHeight="false" outlineLevel="0" collapsed="false">
      <c r="A3" s="10" t="s">
        <v>72</v>
      </c>
      <c r="B3" s="10" t="s">
        <v>54</v>
      </c>
      <c r="C3" s="10" t="s">
        <v>55</v>
      </c>
      <c r="D3" s="10" t="s">
        <v>56</v>
      </c>
      <c r="E3" s="10" t="n">
        <v>1</v>
      </c>
      <c r="F3" s="11" t="s">
        <v>73</v>
      </c>
      <c r="G3" s="10" t="s">
        <v>74</v>
      </c>
      <c r="H3" s="10" t="s">
        <v>75</v>
      </c>
      <c r="I3" s="10" t="s">
        <v>76</v>
      </c>
      <c r="J3" s="10" t="s">
        <v>77</v>
      </c>
      <c r="K3" s="10" t="s">
        <v>62</v>
      </c>
      <c r="L3" s="11" t="s">
        <v>78</v>
      </c>
      <c r="M3" s="10" t="s">
        <v>64</v>
      </c>
      <c r="N3" s="10"/>
      <c r="O3" s="10" t="s">
        <v>65</v>
      </c>
      <c r="P3" s="10" t="s">
        <v>66</v>
      </c>
      <c r="Q3" s="12" t="s">
        <v>79</v>
      </c>
      <c r="R3" s="10" t="s">
        <v>80</v>
      </c>
      <c r="S3" s="10" t="s">
        <v>69</v>
      </c>
      <c r="T3" s="13" t="s">
        <v>70</v>
      </c>
      <c r="U3" s="13"/>
      <c r="V3" s="14"/>
    </row>
    <row r="4" customFormat="false" ht="35.05" hidden="false" customHeight="false" outlineLevel="0" collapsed="false">
      <c r="A4" s="10" t="s">
        <v>81</v>
      </c>
      <c r="B4" s="10" t="s">
        <v>54</v>
      </c>
      <c r="C4" s="10" t="s">
        <v>55</v>
      </c>
      <c r="D4" s="10" t="s">
        <v>56</v>
      </c>
      <c r="E4" s="10" t="n">
        <v>1</v>
      </c>
      <c r="F4" s="11" t="s">
        <v>82</v>
      </c>
      <c r="G4" s="10" t="s">
        <v>83</v>
      </c>
      <c r="H4" s="10" t="s">
        <v>84</v>
      </c>
      <c r="I4" s="10" t="s">
        <v>85</v>
      </c>
      <c r="J4" s="10" t="s">
        <v>86</v>
      </c>
      <c r="K4" s="10" t="s">
        <v>62</v>
      </c>
      <c r="L4" s="11" t="s">
        <v>87</v>
      </c>
      <c r="M4" s="10" t="s">
        <v>64</v>
      </c>
      <c r="N4" s="10"/>
      <c r="O4" s="10" t="s">
        <v>65</v>
      </c>
      <c r="P4" s="10" t="s">
        <v>66</v>
      </c>
      <c r="Q4" s="12" t="s">
        <v>88</v>
      </c>
      <c r="R4" s="10" t="s">
        <v>89</v>
      </c>
      <c r="S4" s="10" t="s">
        <v>69</v>
      </c>
      <c r="T4" s="13" t="s">
        <v>70</v>
      </c>
      <c r="U4" s="13"/>
      <c r="V4" s="14"/>
    </row>
    <row r="5" customFormat="false" ht="23.85" hidden="false" customHeight="false" outlineLevel="0" collapsed="false">
      <c r="A5" s="10" t="s">
        <v>90</v>
      </c>
      <c r="B5" s="10" t="s">
        <v>54</v>
      </c>
      <c r="C5" s="10" t="s">
        <v>55</v>
      </c>
      <c r="D5" s="10" t="s">
        <v>56</v>
      </c>
      <c r="E5" s="10" t="n">
        <v>1</v>
      </c>
      <c r="F5" s="11" t="s">
        <v>91</v>
      </c>
      <c r="G5" s="10" t="s">
        <v>92</v>
      </c>
      <c r="H5" s="10" t="s">
        <v>93</v>
      </c>
      <c r="I5" s="10" t="s">
        <v>94</v>
      </c>
      <c r="J5" s="10" t="s">
        <v>95</v>
      </c>
      <c r="K5" s="10" t="s">
        <v>62</v>
      </c>
      <c r="L5" s="11" t="s">
        <v>96</v>
      </c>
      <c r="M5" s="10" t="s">
        <v>64</v>
      </c>
      <c r="N5" s="10"/>
      <c r="O5" s="10" t="s">
        <v>65</v>
      </c>
      <c r="P5" s="10" t="s">
        <v>66</v>
      </c>
      <c r="Q5" s="12" t="s">
        <v>97</v>
      </c>
      <c r="R5" s="10" t="s">
        <v>98</v>
      </c>
      <c r="S5" s="10" t="s">
        <v>69</v>
      </c>
      <c r="T5" s="13" t="s">
        <v>70</v>
      </c>
      <c r="U5" s="13"/>
      <c r="V5" s="14"/>
    </row>
    <row r="6" customFormat="false" ht="35.05" hidden="false" customHeight="false" outlineLevel="0" collapsed="false">
      <c r="A6" s="10" t="s">
        <v>99</v>
      </c>
      <c r="B6" s="10" t="s">
        <v>54</v>
      </c>
      <c r="C6" s="10" t="s">
        <v>55</v>
      </c>
      <c r="D6" s="10" t="s">
        <v>56</v>
      </c>
      <c r="E6" s="10" t="n">
        <v>1</v>
      </c>
      <c r="F6" s="11" t="s">
        <v>100</v>
      </c>
      <c r="G6" s="10" t="s">
        <v>101</v>
      </c>
      <c r="H6" s="10" t="s">
        <v>102</v>
      </c>
      <c r="I6" s="10" t="s">
        <v>103</v>
      </c>
      <c r="J6" s="10" t="s">
        <v>104</v>
      </c>
      <c r="K6" s="10" t="s">
        <v>62</v>
      </c>
      <c r="L6" s="11" t="s">
        <v>105</v>
      </c>
      <c r="M6" s="10" t="s">
        <v>64</v>
      </c>
      <c r="N6" s="10"/>
      <c r="O6" s="10" t="s">
        <v>65</v>
      </c>
      <c r="P6" s="10" t="s">
        <v>66</v>
      </c>
      <c r="Q6" s="12" t="s">
        <v>106</v>
      </c>
      <c r="R6" s="10" t="s">
        <v>107</v>
      </c>
      <c r="S6" s="10" t="s">
        <v>69</v>
      </c>
      <c r="T6" s="13" t="s">
        <v>70</v>
      </c>
      <c r="U6" s="13"/>
      <c r="V6" s="14"/>
    </row>
    <row r="7" customFormat="false" ht="35.05" hidden="false" customHeight="false" outlineLevel="0" collapsed="false">
      <c r="A7" s="10" t="s">
        <v>108</v>
      </c>
      <c r="B7" s="10" t="s">
        <v>54</v>
      </c>
      <c r="C7" s="10" t="s">
        <v>55</v>
      </c>
      <c r="D7" s="10" t="s">
        <v>56</v>
      </c>
      <c r="E7" s="10" t="n">
        <v>2</v>
      </c>
      <c r="F7" s="11" t="s">
        <v>109</v>
      </c>
      <c r="G7" s="10" t="s">
        <v>110</v>
      </c>
      <c r="H7" s="10" t="s">
        <v>111</v>
      </c>
      <c r="I7" s="10" t="s">
        <v>112</v>
      </c>
      <c r="J7" s="10" t="s">
        <v>113</v>
      </c>
      <c r="K7" s="10" t="s">
        <v>62</v>
      </c>
      <c r="L7" s="11" t="s">
        <v>114</v>
      </c>
      <c r="M7" s="10" t="s">
        <v>64</v>
      </c>
      <c r="N7" s="10"/>
      <c r="O7" s="10" t="s">
        <v>65</v>
      </c>
      <c r="P7" s="10" t="s">
        <v>66</v>
      </c>
      <c r="Q7" s="12" t="s">
        <v>115</v>
      </c>
      <c r="R7" s="10" t="s">
        <v>116</v>
      </c>
      <c r="S7" s="10" t="s">
        <v>69</v>
      </c>
      <c r="T7" s="13" t="s">
        <v>70</v>
      </c>
      <c r="U7" s="13"/>
      <c r="V7" s="14"/>
    </row>
    <row r="8" customFormat="false" ht="46.25" hidden="false" customHeight="false" outlineLevel="0" collapsed="false">
      <c r="A8" s="10" t="s">
        <v>117</v>
      </c>
      <c r="B8" s="10" t="s">
        <v>54</v>
      </c>
      <c r="C8" s="10" t="s">
        <v>55</v>
      </c>
      <c r="D8" s="10" t="s">
        <v>56</v>
      </c>
      <c r="E8" s="10" t="n">
        <v>2</v>
      </c>
      <c r="F8" s="11" t="s">
        <v>118</v>
      </c>
      <c r="G8" s="10" t="s">
        <v>119</v>
      </c>
      <c r="H8" s="10" t="s">
        <v>120</v>
      </c>
      <c r="I8" s="10" t="s">
        <v>121</v>
      </c>
      <c r="J8" s="10" t="s">
        <v>122</v>
      </c>
      <c r="K8" s="10" t="s">
        <v>62</v>
      </c>
      <c r="L8" s="11" t="s">
        <v>123</v>
      </c>
      <c r="M8" s="10" t="s">
        <v>64</v>
      </c>
      <c r="N8" s="10"/>
      <c r="O8" s="10" t="s">
        <v>65</v>
      </c>
      <c r="P8" s="10" t="s">
        <v>66</v>
      </c>
      <c r="Q8" s="12" t="s">
        <v>124</v>
      </c>
      <c r="R8" s="10" t="s">
        <v>125</v>
      </c>
      <c r="S8" s="10" t="s">
        <v>69</v>
      </c>
      <c r="T8" s="13" t="s">
        <v>70</v>
      </c>
      <c r="U8" s="13"/>
      <c r="V8" s="14" t="s">
        <v>126</v>
      </c>
    </row>
    <row r="9" customFormat="false" ht="23.85" hidden="false" customHeight="false" outlineLevel="0" collapsed="false">
      <c r="A9" s="10" t="s">
        <v>127</v>
      </c>
      <c r="B9" s="10" t="s">
        <v>54</v>
      </c>
      <c r="C9" s="10" t="s">
        <v>55</v>
      </c>
      <c r="D9" s="10" t="s">
        <v>56</v>
      </c>
      <c r="E9" s="10" t="n">
        <v>2</v>
      </c>
      <c r="F9" s="11" t="s">
        <v>128</v>
      </c>
      <c r="G9" s="10" t="s">
        <v>129</v>
      </c>
      <c r="H9" s="10" t="s">
        <v>130</v>
      </c>
      <c r="I9" s="10" t="s">
        <v>131</v>
      </c>
      <c r="J9" s="10" t="s">
        <v>132</v>
      </c>
      <c r="K9" s="10" t="s">
        <v>62</v>
      </c>
      <c r="L9" s="11" t="s">
        <v>133</v>
      </c>
      <c r="M9" s="10" t="s">
        <v>64</v>
      </c>
      <c r="N9" s="10"/>
      <c r="O9" s="10" t="s">
        <v>65</v>
      </c>
      <c r="P9" s="10" t="s">
        <v>66</v>
      </c>
      <c r="Q9" s="12" t="s">
        <v>88</v>
      </c>
      <c r="R9" s="10" t="s">
        <v>89</v>
      </c>
      <c r="S9" s="10" t="s">
        <v>69</v>
      </c>
      <c r="T9" s="13" t="s">
        <v>70</v>
      </c>
      <c r="U9" s="13"/>
      <c r="V9" s="14"/>
    </row>
    <row r="10" customFormat="false" ht="23.85" hidden="false" customHeight="false" outlineLevel="0" collapsed="false">
      <c r="A10" s="10" t="s">
        <v>134</v>
      </c>
      <c r="B10" s="10" t="s">
        <v>54</v>
      </c>
      <c r="C10" s="10" t="s">
        <v>55</v>
      </c>
      <c r="D10" s="10" t="s">
        <v>56</v>
      </c>
      <c r="E10" s="10" t="n">
        <v>2</v>
      </c>
      <c r="F10" s="11" t="s">
        <v>135</v>
      </c>
      <c r="G10" s="10" t="s">
        <v>136</v>
      </c>
      <c r="H10" s="10" t="s">
        <v>137</v>
      </c>
      <c r="I10" s="10" t="s">
        <v>138</v>
      </c>
      <c r="J10" s="10" t="s">
        <v>139</v>
      </c>
      <c r="K10" s="10" t="s">
        <v>62</v>
      </c>
      <c r="L10" s="11" t="s">
        <v>140</v>
      </c>
      <c r="M10" s="10" t="s">
        <v>64</v>
      </c>
      <c r="N10" s="10"/>
      <c r="O10" s="10" t="s">
        <v>65</v>
      </c>
      <c r="P10" s="10" t="s">
        <v>66</v>
      </c>
      <c r="Q10" s="12" t="s">
        <v>141</v>
      </c>
      <c r="R10" s="10" t="s">
        <v>142</v>
      </c>
      <c r="S10" s="10" t="s">
        <v>69</v>
      </c>
      <c r="T10" s="13" t="s">
        <v>70</v>
      </c>
      <c r="U10" s="13"/>
      <c r="V10" s="14"/>
    </row>
    <row r="11" customFormat="false" ht="23.85" hidden="false" customHeight="false" outlineLevel="0" collapsed="false">
      <c r="A11" s="10" t="s">
        <v>143</v>
      </c>
      <c r="B11" s="10" t="s">
        <v>54</v>
      </c>
      <c r="C11" s="10" t="s">
        <v>55</v>
      </c>
      <c r="D11" s="10" t="s">
        <v>56</v>
      </c>
      <c r="E11" s="10" t="n">
        <v>2</v>
      </c>
      <c r="F11" s="11" t="s">
        <v>144</v>
      </c>
      <c r="G11" s="10" t="s">
        <v>145</v>
      </c>
      <c r="H11" s="10" t="s">
        <v>146</v>
      </c>
      <c r="I11" s="10" t="s">
        <v>147</v>
      </c>
      <c r="J11" s="10" t="s">
        <v>148</v>
      </c>
      <c r="K11" s="10" t="s">
        <v>62</v>
      </c>
      <c r="L11" s="11" t="s">
        <v>149</v>
      </c>
      <c r="M11" s="10" t="s">
        <v>64</v>
      </c>
      <c r="N11" s="10"/>
      <c r="O11" s="10" t="s">
        <v>65</v>
      </c>
      <c r="P11" s="10" t="s">
        <v>66</v>
      </c>
      <c r="Q11" s="12" t="s">
        <v>150</v>
      </c>
      <c r="R11" s="10" t="s">
        <v>151</v>
      </c>
      <c r="S11" s="10" t="s">
        <v>69</v>
      </c>
      <c r="T11" s="13" t="s">
        <v>70</v>
      </c>
      <c r="U11" s="13"/>
      <c r="V11" s="14"/>
    </row>
    <row r="12" customFormat="false" ht="23.85" hidden="false" customHeight="false" outlineLevel="0" collapsed="false">
      <c r="A12" s="10" t="s">
        <v>152</v>
      </c>
      <c r="B12" s="10" t="s">
        <v>54</v>
      </c>
      <c r="C12" s="10" t="s">
        <v>55</v>
      </c>
      <c r="D12" s="10" t="s">
        <v>56</v>
      </c>
      <c r="E12" s="10" t="n">
        <v>2</v>
      </c>
      <c r="F12" s="11" t="s">
        <v>153</v>
      </c>
      <c r="G12" s="10" t="s">
        <v>121</v>
      </c>
      <c r="H12" s="10" t="s">
        <v>122</v>
      </c>
      <c r="I12" s="10" t="s">
        <v>154</v>
      </c>
      <c r="J12" s="10" t="s">
        <v>120</v>
      </c>
      <c r="K12" s="10" t="s">
        <v>62</v>
      </c>
      <c r="L12" s="11" t="s">
        <v>155</v>
      </c>
      <c r="M12" s="10" t="s">
        <v>64</v>
      </c>
      <c r="N12" s="10"/>
      <c r="O12" s="10" t="s">
        <v>65</v>
      </c>
      <c r="P12" s="10" t="s">
        <v>66</v>
      </c>
      <c r="Q12" s="12" t="s">
        <v>156</v>
      </c>
      <c r="R12" s="10" t="s">
        <v>157</v>
      </c>
      <c r="S12" s="10" t="s">
        <v>69</v>
      </c>
      <c r="T12" s="13" t="s">
        <v>70</v>
      </c>
      <c r="U12" s="13"/>
      <c r="V12" s="14"/>
    </row>
    <row r="13" customFormat="false" ht="23.85" hidden="false" customHeight="false" outlineLevel="0" collapsed="false">
      <c r="A13" s="10" t="s">
        <v>158</v>
      </c>
      <c r="B13" s="10" t="s">
        <v>54</v>
      </c>
      <c r="C13" s="10" t="s">
        <v>55</v>
      </c>
      <c r="D13" s="10" t="s">
        <v>56</v>
      </c>
      <c r="E13" s="10" t="n">
        <v>3</v>
      </c>
      <c r="F13" s="11" t="s">
        <v>159</v>
      </c>
      <c r="G13" s="10" t="s">
        <v>160</v>
      </c>
      <c r="H13" s="10" t="s">
        <v>161</v>
      </c>
      <c r="I13" s="10" t="s">
        <v>162</v>
      </c>
      <c r="J13" s="10" t="s">
        <v>163</v>
      </c>
      <c r="K13" s="10" t="s">
        <v>62</v>
      </c>
      <c r="L13" s="11" t="s">
        <v>164</v>
      </c>
      <c r="M13" s="10" t="s">
        <v>64</v>
      </c>
      <c r="N13" s="10"/>
      <c r="O13" s="10" t="s">
        <v>65</v>
      </c>
      <c r="P13" s="10" t="s">
        <v>66</v>
      </c>
      <c r="Q13" s="12" t="s">
        <v>88</v>
      </c>
      <c r="R13" s="10" t="s">
        <v>89</v>
      </c>
      <c r="S13" s="10" t="s">
        <v>69</v>
      </c>
      <c r="T13" s="13" t="s">
        <v>70</v>
      </c>
      <c r="U13" s="13"/>
      <c r="V13" s="14"/>
    </row>
    <row r="14" customFormat="false" ht="23.85" hidden="false" customHeight="false" outlineLevel="0" collapsed="false">
      <c r="A14" s="10" t="s">
        <v>165</v>
      </c>
      <c r="B14" s="10" t="s">
        <v>54</v>
      </c>
      <c r="C14" s="10" t="s">
        <v>55</v>
      </c>
      <c r="D14" s="10" t="s">
        <v>56</v>
      </c>
      <c r="E14" s="10" t="n">
        <v>3</v>
      </c>
      <c r="F14" s="11" t="s">
        <v>166</v>
      </c>
      <c r="G14" s="10" t="s">
        <v>167</v>
      </c>
      <c r="H14" s="10" t="s">
        <v>168</v>
      </c>
      <c r="I14" s="10" t="s">
        <v>169</v>
      </c>
      <c r="J14" s="10" t="s">
        <v>170</v>
      </c>
      <c r="K14" s="10" t="s">
        <v>62</v>
      </c>
      <c r="L14" s="11" t="s">
        <v>171</v>
      </c>
      <c r="M14" s="10" t="s">
        <v>64</v>
      </c>
      <c r="N14" s="10"/>
      <c r="O14" s="10" t="s">
        <v>65</v>
      </c>
      <c r="P14" s="10" t="s">
        <v>66</v>
      </c>
      <c r="Q14" s="12" t="s">
        <v>172</v>
      </c>
      <c r="R14" s="10" t="s">
        <v>173</v>
      </c>
      <c r="S14" s="10" t="s">
        <v>69</v>
      </c>
      <c r="T14" s="13" t="s">
        <v>70</v>
      </c>
      <c r="U14" s="13"/>
      <c r="V14" s="14"/>
    </row>
    <row r="15" customFormat="false" ht="23.85" hidden="false" customHeight="false" outlineLevel="0" collapsed="false">
      <c r="A15" s="10" t="s">
        <v>174</v>
      </c>
      <c r="B15" s="10" t="s">
        <v>54</v>
      </c>
      <c r="C15" s="10" t="s">
        <v>55</v>
      </c>
      <c r="D15" s="10" t="s">
        <v>56</v>
      </c>
      <c r="E15" s="10" t="n">
        <v>3</v>
      </c>
      <c r="F15" s="11" t="s">
        <v>175</v>
      </c>
      <c r="G15" s="10" t="s">
        <v>176</v>
      </c>
      <c r="H15" s="10" t="s">
        <v>177</v>
      </c>
      <c r="I15" s="10" t="s">
        <v>178</v>
      </c>
      <c r="J15" s="10" t="s">
        <v>179</v>
      </c>
      <c r="K15" s="10" t="s">
        <v>62</v>
      </c>
      <c r="L15" s="11" t="s">
        <v>180</v>
      </c>
      <c r="M15" s="10" t="s">
        <v>64</v>
      </c>
      <c r="N15" s="10"/>
      <c r="O15" s="10" t="s">
        <v>65</v>
      </c>
      <c r="P15" s="10" t="s">
        <v>66</v>
      </c>
      <c r="Q15" s="12" t="s">
        <v>181</v>
      </c>
      <c r="R15" s="10" t="s">
        <v>182</v>
      </c>
      <c r="S15" s="10" t="s">
        <v>69</v>
      </c>
      <c r="T15" s="13" t="s">
        <v>70</v>
      </c>
      <c r="U15" s="13"/>
      <c r="V15" s="14"/>
    </row>
    <row r="16" customFormat="false" ht="23.85" hidden="false" customHeight="false" outlineLevel="0" collapsed="false">
      <c r="A16" s="10" t="s">
        <v>183</v>
      </c>
      <c r="B16" s="10" t="s">
        <v>54</v>
      </c>
      <c r="C16" s="10" t="s">
        <v>55</v>
      </c>
      <c r="D16" s="10" t="s">
        <v>56</v>
      </c>
      <c r="E16" s="10" t="n">
        <v>3</v>
      </c>
      <c r="F16" s="11" t="s">
        <v>184</v>
      </c>
      <c r="G16" s="10" t="s">
        <v>185</v>
      </c>
      <c r="H16" s="10" t="s">
        <v>186</v>
      </c>
      <c r="I16" s="10" t="s">
        <v>187</v>
      </c>
      <c r="J16" s="10" t="s">
        <v>188</v>
      </c>
      <c r="K16" s="10" t="s">
        <v>62</v>
      </c>
      <c r="L16" s="11" t="s">
        <v>189</v>
      </c>
      <c r="M16" s="10" t="s">
        <v>64</v>
      </c>
      <c r="N16" s="10"/>
      <c r="O16" s="10" t="s">
        <v>65</v>
      </c>
      <c r="P16" s="10" t="s">
        <v>66</v>
      </c>
      <c r="Q16" s="12" t="s">
        <v>97</v>
      </c>
      <c r="R16" s="10" t="s">
        <v>98</v>
      </c>
      <c r="S16" s="10" t="s">
        <v>69</v>
      </c>
      <c r="T16" s="13" t="s">
        <v>70</v>
      </c>
      <c r="U16" s="13"/>
      <c r="V16" s="14"/>
    </row>
    <row r="17" customFormat="false" ht="35.05" hidden="false" customHeight="false" outlineLevel="0" collapsed="false">
      <c r="A17" s="10" t="s">
        <v>190</v>
      </c>
      <c r="B17" s="10" t="s">
        <v>54</v>
      </c>
      <c r="C17" s="10" t="s">
        <v>55</v>
      </c>
      <c r="D17" s="10" t="s">
        <v>56</v>
      </c>
      <c r="E17" s="10" t="n">
        <v>3</v>
      </c>
      <c r="F17" s="11" t="s">
        <v>191</v>
      </c>
      <c r="G17" s="10" t="s">
        <v>192</v>
      </c>
      <c r="H17" s="10" t="s">
        <v>137</v>
      </c>
      <c r="I17" s="10" t="s">
        <v>187</v>
      </c>
      <c r="J17" s="10" t="s">
        <v>136</v>
      </c>
      <c r="K17" s="10" t="s">
        <v>62</v>
      </c>
      <c r="L17" s="11" t="s">
        <v>193</v>
      </c>
      <c r="M17" s="10" t="s">
        <v>64</v>
      </c>
      <c r="N17" s="10"/>
      <c r="O17" s="10" t="s">
        <v>65</v>
      </c>
      <c r="P17" s="10" t="s">
        <v>66</v>
      </c>
      <c r="Q17" s="12" t="s">
        <v>194</v>
      </c>
      <c r="R17" s="10" t="s">
        <v>195</v>
      </c>
      <c r="S17" s="10" t="s">
        <v>69</v>
      </c>
      <c r="T17" s="13" t="s">
        <v>70</v>
      </c>
      <c r="U17" s="13"/>
      <c r="V17" s="14"/>
    </row>
    <row r="18" customFormat="false" ht="23.85" hidden="false" customHeight="false" outlineLevel="0" collapsed="false">
      <c r="A18" s="10" t="s">
        <v>196</v>
      </c>
      <c r="B18" s="10" t="s">
        <v>54</v>
      </c>
      <c r="C18" s="10" t="s">
        <v>55</v>
      </c>
      <c r="D18" s="10" t="s">
        <v>56</v>
      </c>
      <c r="E18" s="10" t="n">
        <v>3</v>
      </c>
      <c r="F18" s="11" t="s">
        <v>197</v>
      </c>
      <c r="G18" s="10" t="s">
        <v>198</v>
      </c>
      <c r="H18" s="10" t="s">
        <v>199</v>
      </c>
      <c r="I18" s="10" t="s">
        <v>200</v>
      </c>
      <c r="J18" s="10" t="s">
        <v>201</v>
      </c>
      <c r="K18" s="10" t="s">
        <v>62</v>
      </c>
      <c r="L18" s="11" t="s">
        <v>202</v>
      </c>
      <c r="M18" s="10" t="s">
        <v>64</v>
      </c>
      <c r="N18" s="10"/>
      <c r="O18" s="10" t="s">
        <v>65</v>
      </c>
      <c r="P18" s="10" t="s">
        <v>66</v>
      </c>
      <c r="Q18" s="12" t="s">
        <v>106</v>
      </c>
      <c r="R18" s="10" t="s">
        <v>107</v>
      </c>
      <c r="S18" s="10" t="s">
        <v>69</v>
      </c>
      <c r="T18" s="13" t="s">
        <v>70</v>
      </c>
      <c r="U18" s="13"/>
      <c r="V18" s="14"/>
    </row>
    <row r="19" customFormat="false" ht="23.85" hidden="false" customHeight="false" outlineLevel="0" collapsed="false">
      <c r="A19" s="10" t="s">
        <v>203</v>
      </c>
      <c r="B19" s="10" t="s">
        <v>54</v>
      </c>
      <c r="C19" s="10" t="s">
        <v>55</v>
      </c>
      <c r="D19" s="10" t="s">
        <v>56</v>
      </c>
      <c r="E19" s="10" t="n">
        <v>3</v>
      </c>
      <c r="F19" s="11" t="s">
        <v>204</v>
      </c>
      <c r="G19" s="10" t="s">
        <v>205</v>
      </c>
      <c r="H19" s="10" t="s">
        <v>206</v>
      </c>
      <c r="I19" s="10" t="s">
        <v>207</v>
      </c>
      <c r="J19" s="10" t="s">
        <v>208</v>
      </c>
      <c r="K19" s="10" t="s">
        <v>62</v>
      </c>
      <c r="L19" s="11" t="s">
        <v>209</v>
      </c>
      <c r="M19" s="10" t="s">
        <v>64</v>
      </c>
      <c r="N19" s="10"/>
      <c r="O19" s="10" t="s">
        <v>65</v>
      </c>
      <c r="P19" s="10" t="s">
        <v>66</v>
      </c>
      <c r="Q19" s="12" t="s">
        <v>210</v>
      </c>
      <c r="R19" s="10" t="s">
        <v>211</v>
      </c>
      <c r="S19" s="10" t="s">
        <v>69</v>
      </c>
      <c r="T19" s="13" t="s">
        <v>70</v>
      </c>
      <c r="U19" s="13"/>
      <c r="V19" s="14"/>
    </row>
    <row r="20" customFormat="false" ht="23.85" hidden="false" customHeight="false" outlineLevel="0" collapsed="false">
      <c r="A20" s="10" t="s">
        <v>212</v>
      </c>
      <c r="B20" s="10" t="s">
        <v>54</v>
      </c>
      <c r="C20" s="10" t="s">
        <v>55</v>
      </c>
      <c r="D20" s="10" t="s">
        <v>213</v>
      </c>
      <c r="E20" s="10" t="n">
        <v>3</v>
      </c>
      <c r="F20" s="11" t="s">
        <v>214</v>
      </c>
      <c r="G20" s="10"/>
      <c r="H20" s="10"/>
      <c r="I20" s="10"/>
      <c r="J20" s="10"/>
      <c r="K20" s="10" t="s">
        <v>215</v>
      </c>
      <c r="L20" s="11" t="s">
        <v>216</v>
      </c>
      <c r="M20" s="10" t="s">
        <v>64</v>
      </c>
      <c r="N20" s="10" t="s">
        <v>217</v>
      </c>
      <c r="O20" s="10" t="s">
        <v>65</v>
      </c>
      <c r="P20" s="10" t="s">
        <v>66</v>
      </c>
      <c r="Q20" s="12" t="s">
        <v>218</v>
      </c>
      <c r="R20" s="10" t="s">
        <v>219</v>
      </c>
      <c r="S20" s="10" t="s">
        <v>69</v>
      </c>
      <c r="T20" s="13" t="s">
        <v>70</v>
      </c>
      <c r="U20" s="13"/>
      <c r="V20" s="14"/>
    </row>
    <row r="21" customFormat="false" ht="57.45" hidden="false" customHeight="false" outlineLevel="0" collapsed="false">
      <c r="A21" s="10" t="s">
        <v>220</v>
      </c>
      <c r="B21" s="10" t="s">
        <v>54</v>
      </c>
      <c r="C21" s="10" t="s">
        <v>55</v>
      </c>
      <c r="D21" s="10" t="s">
        <v>56</v>
      </c>
      <c r="E21" s="10" t="n">
        <v>3</v>
      </c>
      <c r="F21" s="11" t="s">
        <v>221</v>
      </c>
      <c r="G21" s="10" t="s">
        <v>222</v>
      </c>
      <c r="H21" s="10" t="s">
        <v>223</v>
      </c>
      <c r="I21" s="10" t="s">
        <v>224</v>
      </c>
      <c r="J21" s="10" t="s">
        <v>225</v>
      </c>
      <c r="K21" s="10" t="s">
        <v>62</v>
      </c>
      <c r="L21" s="11" t="s">
        <v>226</v>
      </c>
      <c r="M21" s="10" t="s">
        <v>64</v>
      </c>
      <c r="N21" s="10" t="s">
        <v>217</v>
      </c>
      <c r="O21" s="10" t="s">
        <v>65</v>
      </c>
      <c r="P21" s="10" t="s">
        <v>66</v>
      </c>
      <c r="Q21" s="12" t="s">
        <v>227</v>
      </c>
      <c r="R21" s="10" t="s">
        <v>228</v>
      </c>
      <c r="S21" s="10" t="s">
        <v>69</v>
      </c>
      <c r="T21" s="13" t="s">
        <v>70</v>
      </c>
      <c r="U21" s="13"/>
      <c r="V21" s="14" t="s">
        <v>229</v>
      </c>
    </row>
    <row r="22" customFormat="false" ht="23.85" hidden="false" customHeight="false" outlineLevel="0" collapsed="false">
      <c r="A22" s="10" t="s">
        <v>230</v>
      </c>
      <c r="B22" s="10" t="s">
        <v>54</v>
      </c>
      <c r="C22" s="10" t="s">
        <v>55</v>
      </c>
      <c r="D22" s="10" t="s">
        <v>56</v>
      </c>
      <c r="E22" s="10" t="n">
        <v>3</v>
      </c>
      <c r="F22" s="11" t="s">
        <v>231</v>
      </c>
      <c r="G22" s="10" t="s">
        <v>154</v>
      </c>
      <c r="H22" s="10" t="s">
        <v>122</v>
      </c>
      <c r="I22" s="10" t="s">
        <v>119</v>
      </c>
      <c r="J22" s="10" t="s">
        <v>121</v>
      </c>
      <c r="K22" s="10" t="s">
        <v>62</v>
      </c>
      <c r="L22" s="11" t="s">
        <v>232</v>
      </c>
      <c r="M22" s="10" t="s">
        <v>64</v>
      </c>
      <c r="N22" s="10"/>
      <c r="O22" s="10" t="s">
        <v>65</v>
      </c>
      <c r="P22" s="10" t="s">
        <v>66</v>
      </c>
      <c r="Q22" s="12" t="s">
        <v>79</v>
      </c>
      <c r="R22" s="10" t="s">
        <v>80</v>
      </c>
      <c r="S22" s="10" t="s">
        <v>69</v>
      </c>
      <c r="T22" s="13" t="s">
        <v>70</v>
      </c>
      <c r="U22" s="13"/>
      <c r="V22" s="14"/>
    </row>
    <row r="23" customFormat="false" ht="23.85" hidden="false" customHeight="false" outlineLevel="0" collapsed="false">
      <c r="A23" s="10" t="s">
        <v>233</v>
      </c>
      <c r="B23" s="10" t="s">
        <v>54</v>
      </c>
      <c r="C23" s="10" t="s">
        <v>55</v>
      </c>
      <c r="D23" s="10" t="s">
        <v>56</v>
      </c>
      <c r="E23" s="10" t="n">
        <v>4</v>
      </c>
      <c r="F23" s="11" t="s">
        <v>234</v>
      </c>
      <c r="G23" s="10" t="s">
        <v>235</v>
      </c>
      <c r="H23" s="10" t="s">
        <v>236</v>
      </c>
      <c r="I23" s="10" t="s">
        <v>237</v>
      </c>
      <c r="J23" s="10" t="s">
        <v>238</v>
      </c>
      <c r="K23" s="10" t="s">
        <v>62</v>
      </c>
      <c r="L23" s="11" t="s">
        <v>239</v>
      </c>
      <c r="M23" s="10" t="s">
        <v>64</v>
      </c>
      <c r="N23" s="10"/>
      <c r="O23" s="10" t="s">
        <v>65</v>
      </c>
      <c r="P23" s="10" t="s">
        <v>66</v>
      </c>
      <c r="Q23" s="12" t="s">
        <v>240</v>
      </c>
      <c r="R23" s="10" t="s">
        <v>241</v>
      </c>
      <c r="S23" s="10" t="s">
        <v>69</v>
      </c>
      <c r="T23" s="13" t="s">
        <v>70</v>
      </c>
      <c r="U23" s="13"/>
      <c r="V23" s="14"/>
    </row>
    <row r="24" customFormat="false" ht="23.85" hidden="false" customHeight="false" outlineLevel="0" collapsed="false">
      <c r="A24" s="10" t="s">
        <v>242</v>
      </c>
      <c r="B24" s="10" t="s">
        <v>54</v>
      </c>
      <c r="C24" s="10" t="s">
        <v>55</v>
      </c>
      <c r="D24" s="10" t="s">
        <v>56</v>
      </c>
      <c r="E24" s="10" t="n">
        <v>4</v>
      </c>
      <c r="F24" s="11" t="s">
        <v>243</v>
      </c>
      <c r="G24" s="10" t="s">
        <v>224</v>
      </c>
      <c r="H24" s="10" t="s">
        <v>223</v>
      </c>
      <c r="I24" s="10" t="s">
        <v>244</v>
      </c>
      <c r="J24" s="10" t="s">
        <v>225</v>
      </c>
      <c r="K24" s="10" t="s">
        <v>62</v>
      </c>
      <c r="L24" s="11" t="s">
        <v>245</v>
      </c>
      <c r="M24" s="10" t="s">
        <v>64</v>
      </c>
      <c r="N24" s="10"/>
      <c r="O24" s="10" t="s">
        <v>65</v>
      </c>
      <c r="P24" s="10" t="s">
        <v>66</v>
      </c>
      <c r="Q24" s="12" t="s">
        <v>246</v>
      </c>
      <c r="R24" s="10" t="s">
        <v>247</v>
      </c>
      <c r="S24" s="10" t="s">
        <v>69</v>
      </c>
      <c r="T24" s="13" t="s">
        <v>70</v>
      </c>
      <c r="U24" s="13"/>
      <c r="V24" s="14"/>
    </row>
    <row r="25" customFormat="false" ht="23.85" hidden="false" customHeight="false" outlineLevel="0" collapsed="false">
      <c r="A25" s="10" t="s">
        <v>248</v>
      </c>
      <c r="B25" s="10" t="s">
        <v>54</v>
      </c>
      <c r="C25" s="10" t="s">
        <v>55</v>
      </c>
      <c r="D25" s="10" t="s">
        <v>56</v>
      </c>
      <c r="E25" s="10" t="n">
        <v>4</v>
      </c>
      <c r="F25" s="11" t="s">
        <v>249</v>
      </c>
      <c r="G25" s="10" t="s">
        <v>222</v>
      </c>
      <c r="H25" s="10" t="s">
        <v>250</v>
      </c>
      <c r="I25" s="10" t="s">
        <v>162</v>
      </c>
      <c r="J25" s="10" t="s">
        <v>251</v>
      </c>
      <c r="K25" s="10" t="s">
        <v>62</v>
      </c>
      <c r="L25" s="11" t="s">
        <v>252</v>
      </c>
      <c r="M25" s="10" t="s">
        <v>64</v>
      </c>
      <c r="N25" s="10"/>
      <c r="O25" s="10" t="s">
        <v>65</v>
      </c>
      <c r="P25" s="10" t="s">
        <v>66</v>
      </c>
      <c r="Q25" s="12" t="s">
        <v>253</v>
      </c>
      <c r="R25" s="10" t="s">
        <v>254</v>
      </c>
      <c r="S25" s="10" t="s">
        <v>69</v>
      </c>
      <c r="T25" s="13" t="s">
        <v>70</v>
      </c>
      <c r="U25" s="13"/>
      <c r="V25" s="14"/>
    </row>
    <row r="26" customFormat="false" ht="23.85" hidden="false" customHeight="false" outlineLevel="0" collapsed="false">
      <c r="A26" s="10" t="s">
        <v>255</v>
      </c>
      <c r="B26" s="10" t="s">
        <v>54</v>
      </c>
      <c r="C26" s="10" t="s">
        <v>55</v>
      </c>
      <c r="D26" s="10" t="s">
        <v>56</v>
      </c>
      <c r="E26" s="10" t="n">
        <v>4</v>
      </c>
      <c r="F26" s="11" t="s">
        <v>256</v>
      </c>
      <c r="G26" s="10" t="s">
        <v>257</v>
      </c>
      <c r="H26" s="10" t="s">
        <v>258</v>
      </c>
      <c r="I26" s="10" t="s">
        <v>259</v>
      </c>
      <c r="J26" s="10" t="s">
        <v>260</v>
      </c>
      <c r="K26" s="10" t="s">
        <v>62</v>
      </c>
      <c r="L26" s="11" t="s">
        <v>261</v>
      </c>
      <c r="M26" s="10" t="s">
        <v>64</v>
      </c>
      <c r="N26" s="10" t="s">
        <v>217</v>
      </c>
      <c r="O26" s="10" t="s">
        <v>65</v>
      </c>
      <c r="P26" s="10" t="s">
        <v>66</v>
      </c>
      <c r="Q26" s="12" t="s">
        <v>262</v>
      </c>
      <c r="R26" s="10" t="s">
        <v>263</v>
      </c>
      <c r="S26" s="10" t="s">
        <v>69</v>
      </c>
      <c r="T26" s="13" t="s">
        <v>70</v>
      </c>
      <c r="U26" s="13"/>
      <c r="V26" s="14"/>
    </row>
    <row r="27" customFormat="false" ht="23.85" hidden="false" customHeight="false" outlineLevel="0" collapsed="false">
      <c r="A27" s="10" t="s">
        <v>264</v>
      </c>
      <c r="B27" s="10" t="s">
        <v>54</v>
      </c>
      <c r="C27" s="10" t="s">
        <v>55</v>
      </c>
      <c r="D27" s="10" t="s">
        <v>213</v>
      </c>
      <c r="E27" s="10" t="n">
        <v>4</v>
      </c>
      <c r="F27" s="11" t="s">
        <v>265</v>
      </c>
      <c r="G27" s="10"/>
      <c r="H27" s="10"/>
      <c r="I27" s="10"/>
      <c r="J27" s="10"/>
      <c r="K27" s="10" t="s">
        <v>266</v>
      </c>
      <c r="L27" s="11" t="s">
        <v>267</v>
      </c>
      <c r="M27" s="10" t="s">
        <v>64</v>
      </c>
      <c r="N27" s="10"/>
      <c r="O27" s="10" t="s">
        <v>65</v>
      </c>
      <c r="P27" s="10" t="s">
        <v>66</v>
      </c>
      <c r="Q27" s="12" t="s">
        <v>268</v>
      </c>
      <c r="R27" s="10" t="s">
        <v>269</v>
      </c>
      <c r="S27" s="10" t="s">
        <v>69</v>
      </c>
      <c r="T27" s="13" t="s">
        <v>70</v>
      </c>
      <c r="U27" s="13"/>
      <c r="V27" s="14"/>
    </row>
    <row r="28" customFormat="false" ht="23.85" hidden="false" customHeight="false" outlineLevel="0" collapsed="false">
      <c r="A28" s="10" t="s">
        <v>270</v>
      </c>
      <c r="B28" s="10" t="s">
        <v>54</v>
      </c>
      <c r="C28" s="10" t="s">
        <v>55</v>
      </c>
      <c r="D28" s="10" t="s">
        <v>56</v>
      </c>
      <c r="E28" s="10" t="n">
        <v>4</v>
      </c>
      <c r="F28" s="11" t="s">
        <v>271</v>
      </c>
      <c r="G28" s="10" t="s">
        <v>272</v>
      </c>
      <c r="H28" s="10" t="s">
        <v>84</v>
      </c>
      <c r="I28" s="10" t="s">
        <v>273</v>
      </c>
      <c r="J28" s="10" t="s">
        <v>274</v>
      </c>
      <c r="K28" s="10" t="s">
        <v>62</v>
      </c>
      <c r="L28" s="11" t="s">
        <v>275</v>
      </c>
      <c r="M28" s="10" t="s">
        <v>64</v>
      </c>
      <c r="N28" s="10"/>
      <c r="O28" s="10" t="s">
        <v>65</v>
      </c>
      <c r="P28" s="10" t="s">
        <v>66</v>
      </c>
      <c r="Q28" s="12" t="s">
        <v>181</v>
      </c>
      <c r="R28" s="10" t="s">
        <v>182</v>
      </c>
      <c r="S28" s="10" t="s">
        <v>69</v>
      </c>
      <c r="T28" s="13" t="s">
        <v>70</v>
      </c>
      <c r="U28" s="13"/>
      <c r="V28" s="14"/>
    </row>
    <row r="29" customFormat="false" ht="35.05" hidden="false" customHeight="false" outlineLevel="0" collapsed="false">
      <c r="A29" s="10" t="s">
        <v>276</v>
      </c>
      <c r="B29" s="10" t="s">
        <v>54</v>
      </c>
      <c r="C29" s="10" t="s">
        <v>55</v>
      </c>
      <c r="D29" s="10" t="s">
        <v>56</v>
      </c>
      <c r="E29" s="10" t="n">
        <v>5</v>
      </c>
      <c r="F29" s="11" t="s">
        <v>277</v>
      </c>
      <c r="G29" s="10" t="s">
        <v>278</v>
      </c>
      <c r="H29" s="10" t="s">
        <v>187</v>
      </c>
      <c r="I29" s="10" t="s">
        <v>192</v>
      </c>
      <c r="J29" s="10" t="s">
        <v>279</v>
      </c>
      <c r="K29" s="10" t="s">
        <v>62</v>
      </c>
      <c r="L29" s="11" t="s">
        <v>280</v>
      </c>
      <c r="M29" s="10" t="s">
        <v>64</v>
      </c>
      <c r="N29" s="10"/>
      <c r="O29" s="10" t="s">
        <v>65</v>
      </c>
      <c r="P29" s="10" t="s">
        <v>66</v>
      </c>
      <c r="Q29" s="12" t="s">
        <v>281</v>
      </c>
      <c r="R29" s="10" t="s">
        <v>282</v>
      </c>
      <c r="S29" s="10" t="s">
        <v>69</v>
      </c>
      <c r="T29" s="13" t="s">
        <v>70</v>
      </c>
      <c r="U29" s="13"/>
      <c r="V29" s="14"/>
    </row>
    <row r="30" customFormat="false" ht="23.85" hidden="false" customHeight="false" outlineLevel="0" collapsed="false">
      <c r="A30" s="10" t="s">
        <v>283</v>
      </c>
      <c r="B30" s="10" t="s">
        <v>54</v>
      </c>
      <c r="C30" s="10" t="s">
        <v>55</v>
      </c>
      <c r="D30" s="10" t="s">
        <v>56</v>
      </c>
      <c r="E30" s="10" t="n">
        <v>5</v>
      </c>
      <c r="F30" s="11" t="s">
        <v>284</v>
      </c>
      <c r="G30" s="10" t="s">
        <v>285</v>
      </c>
      <c r="H30" s="10" t="s">
        <v>244</v>
      </c>
      <c r="I30" s="10" t="s">
        <v>286</v>
      </c>
      <c r="J30" s="10" t="s">
        <v>287</v>
      </c>
      <c r="K30" s="10" t="s">
        <v>62</v>
      </c>
      <c r="L30" s="11" t="s">
        <v>288</v>
      </c>
      <c r="M30" s="10" t="s">
        <v>64</v>
      </c>
      <c r="N30" s="10"/>
      <c r="O30" s="10" t="s">
        <v>65</v>
      </c>
      <c r="P30" s="10" t="s">
        <v>66</v>
      </c>
      <c r="Q30" s="12" t="s">
        <v>289</v>
      </c>
      <c r="R30" s="10" t="s">
        <v>290</v>
      </c>
      <c r="S30" s="10" t="s">
        <v>69</v>
      </c>
      <c r="T30" s="13" t="s">
        <v>70</v>
      </c>
      <c r="U30" s="13"/>
      <c r="V30" s="14"/>
    </row>
    <row r="31" customFormat="false" ht="23.85" hidden="false" customHeight="false" outlineLevel="0" collapsed="false">
      <c r="A31" s="10" t="s">
        <v>291</v>
      </c>
      <c r="B31" s="10" t="s">
        <v>54</v>
      </c>
      <c r="C31" s="10" t="s">
        <v>55</v>
      </c>
      <c r="D31" s="10" t="s">
        <v>213</v>
      </c>
      <c r="E31" s="10" t="n">
        <v>5</v>
      </c>
      <c r="F31" s="11" t="s">
        <v>292</v>
      </c>
      <c r="G31" s="10"/>
      <c r="H31" s="10"/>
      <c r="I31" s="10"/>
      <c r="J31" s="10"/>
      <c r="K31" s="10" t="s">
        <v>293</v>
      </c>
      <c r="L31" s="11" t="s">
        <v>294</v>
      </c>
      <c r="M31" s="10" t="s">
        <v>64</v>
      </c>
      <c r="N31" s="10" t="s">
        <v>217</v>
      </c>
      <c r="O31" s="10" t="s">
        <v>65</v>
      </c>
      <c r="P31" s="10" t="s">
        <v>66</v>
      </c>
      <c r="Q31" s="12" t="s">
        <v>295</v>
      </c>
      <c r="R31" s="10" t="s">
        <v>296</v>
      </c>
      <c r="S31" s="10" t="s">
        <v>69</v>
      </c>
      <c r="T31" s="13" t="s">
        <v>70</v>
      </c>
      <c r="U31" s="13"/>
      <c r="V31" s="14"/>
    </row>
    <row r="32" customFormat="false" ht="23.85" hidden="false" customHeight="false" outlineLevel="0" collapsed="false">
      <c r="A32" s="10" t="s">
        <v>297</v>
      </c>
      <c r="B32" s="10" t="s">
        <v>54</v>
      </c>
      <c r="C32" s="10" t="s">
        <v>55</v>
      </c>
      <c r="D32" s="10" t="s">
        <v>56</v>
      </c>
      <c r="E32" s="10" t="n">
        <v>5</v>
      </c>
      <c r="F32" s="11" t="s">
        <v>298</v>
      </c>
      <c r="G32" s="10" t="s">
        <v>179</v>
      </c>
      <c r="H32" s="10" t="s">
        <v>299</v>
      </c>
      <c r="I32" s="10" t="s">
        <v>113</v>
      </c>
      <c r="J32" s="10" t="s">
        <v>300</v>
      </c>
      <c r="K32" s="10" t="s">
        <v>62</v>
      </c>
      <c r="L32" s="11" t="s">
        <v>301</v>
      </c>
      <c r="M32" s="10" t="s">
        <v>64</v>
      </c>
      <c r="N32" s="10"/>
      <c r="O32" s="10" t="s">
        <v>65</v>
      </c>
      <c r="P32" s="10" t="s">
        <v>66</v>
      </c>
      <c r="Q32" s="12" t="s">
        <v>302</v>
      </c>
      <c r="R32" s="10" t="s">
        <v>303</v>
      </c>
      <c r="S32" s="10" t="s">
        <v>69</v>
      </c>
      <c r="T32" s="13" t="s">
        <v>70</v>
      </c>
      <c r="U32" s="13"/>
      <c r="V32" s="14"/>
    </row>
    <row r="33" customFormat="false" ht="46.25" hidden="false" customHeight="false" outlineLevel="0" collapsed="false">
      <c r="A33" s="10" t="s">
        <v>304</v>
      </c>
      <c r="B33" s="10" t="s">
        <v>54</v>
      </c>
      <c r="C33" s="10" t="s">
        <v>55</v>
      </c>
      <c r="D33" s="10" t="s">
        <v>56</v>
      </c>
      <c r="E33" s="10" t="n">
        <v>5</v>
      </c>
      <c r="F33" s="11" t="s">
        <v>305</v>
      </c>
      <c r="G33" s="10" t="s">
        <v>306</v>
      </c>
      <c r="H33" s="10" t="s">
        <v>307</v>
      </c>
      <c r="I33" s="10" t="s">
        <v>308</v>
      </c>
      <c r="J33" s="10" t="s">
        <v>309</v>
      </c>
      <c r="K33" s="10" t="s">
        <v>62</v>
      </c>
      <c r="L33" s="11" t="s">
        <v>310</v>
      </c>
      <c r="M33" s="10" t="s">
        <v>64</v>
      </c>
      <c r="N33" s="10"/>
      <c r="O33" s="10" t="s">
        <v>65</v>
      </c>
      <c r="P33" s="10" t="s">
        <v>66</v>
      </c>
      <c r="Q33" s="12" t="s">
        <v>79</v>
      </c>
      <c r="R33" s="10" t="s">
        <v>80</v>
      </c>
      <c r="S33" s="10" t="s">
        <v>69</v>
      </c>
      <c r="T33" s="13" t="s">
        <v>70</v>
      </c>
      <c r="U33" s="13"/>
      <c r="V33" s="14" t="s">
        <v>311</v>
      </c>
    </row>
  </sheetData>
  <autoFilter ref="A1:V33"/>
  <dataValidations count="1">
    <dataValidation allowBlank="true" errorStyle="stop" operator="between" showDropDown="false" showErrorMessage="false" showInputMessage="false" sqref="T2:T1033" type="list">
      <formula1>"to check,approved,fix needed,rejected"</formula1>
      <formula2>0</formula2>
    </dataValidation>
  </dataValidations>
  <hyperlinks>
    <hyperlink ref="Q2" r:id="rId1" display="https://sportsvillagesquare.com/?p=79212"/>
    <hyperlink ref="Q3" r:id="rId2" display="https://archivi.ng/the-archivist/stories/issue-4/green-eagles-of-nigeria-at-afcon-1980"/>
    <hyperlink ref="Q4" r:id="rId3" display="https://www.aljazeera.com/sports/2013/2/11/nigeria-triumphs-at-africa-cup-of-nations"/>
    <hyperlink ref="Q5" r:id="rId4" display="https://inside.fifa.com/en/news/worldcupathome-nigeria-italy-1994-baggio-comeback"/>
    <hyperlink ref="Q6" r:id="rId5" display="https://en.wikipedia.org/wiki/Jay-Jay_Okocha"/>
    <hyperlink ref="Q7" r:id="rId6" display="https://www.goal.com/en-us/news/nigerias-first-ever-world-cup-goal-and-the-five-most/blt4192f0869e6dcbd2"/>
    <hyperlink ref="Q8" r:id="rId7" display="https://www.legit.ng/sports/football/1690304-arsenal-legend-kanu-nwankwo-papilo-sends-strong-message-super-eagles-uganda-clash/"/>
    <hyperlink ref="Q9" r:id="rId8" display="https://www.aljazeera.com/sports/2013/2/11/nigeria-triumphs-at-africa-cup-of-nations"/>
    <hyperlink ref="Q10" r:id="rId9" display="https://sportsvillagesquare.com/2020/05/02/ex-super-eagles-manager-clemens-westerhof-clocks-80"/>
    <hyperlink ref="Q11" r:id="rId10" display="https://www.thescore.com/news/1552695"/>
    <hyperlink ref="Q12" r:id="rId11" display="https://www.aljazeera.com/sports/2018/1/23/stephen-keshi-why-google-honours-him-today"/>
    <hyperlink ref="Q13" r:id="rId12" display="https://www.aljazeera.com/sports/2013/2/11/nigeria-triumphs-at-africa-cup-of-nations"/>
    <hyperlink ref="Q14" r:id="rId13" display="https://www.thisdaylive.com/2022/10/01/emmanuel-amuneke-mission-to-zambia/"/>
    <hyperlink ref="Q15" r:id="rId14" display="https://www.planetfootball.com/nostalgia/jay-jay-okocha-nigeria-1998-world-cup-france-spain-skilla-assists"/>
    <hyperlink ref="Q16" r:id="rId15" display="https://inside.fifa.com/en/news/worldcupathome-nigeria-italy-1994-baggio-comeback"/>
    <hyperlink ref="Q17" r:id="rId16" display="https://www.cbsnews.com/amp/news/world-cup-2014-france-wins-a-deceptively-close-2-0-game-against-nigeria"/>
    <hyperlink ref="Q18" r:id="rId17" display="https://en.wikipedia.org/wiki/Jay-Jay_Okocha"/>
    <hyperlink ref="Q19" r:id="rId18" display="https://www.cafonline.com/caf-africa-cup-of-nations/news/totalenergies-caf-afcon-cote-d-ivoire-2023-awards/"/>
    <hyperlink ref="Q20" r:id="rId19" display="https://www.aljazeera.com/sports/2025/11/16/dr-congo-shock-nigeria-on-penalties-to-win-african-world-cup-playoffs"/>
    <hyperlink ref="Q21" r:id="rId20" display="https://www.arise.tv/nff-salutes-ahmed-musas-legacy-as-nigerias-most-capped-player-retires/"/>
    <hyperlink ref="Q22" r:id="rId21" display="https://archivi.ng/the-archivist/stories/issue-4/green-eagles-of-nigeria-at-afcon-1980"/>
    <hyperlink ref="Q23" r:id="rId22" display="https://nannews.ng/nigeria-lost-a-true-icon-in-chukwu-nsc-d-g/"/>
    <hyperlink ref="Q24" r:id="rId23" display="https://www.foxnews.com/sports/joseph-yobo-announces-international-retirement-after-scoring-own-goal-in-100th-cap-for-nigeria.amp"/>
    <hyperlink ref="Q25" r:id="rId24" display="https://www.beinsports.com/en-mena/articles-video/2018-fifa-world-cup-nigeria-beat-iceland-2-0-"/>
    <hyperlink ref="Q26" r:id="rId25" display="https://thewillnews.com/nigeria-register-biggest-ever-win-in-10-nil-thrashing-of-sao-tome/"/>
    <hyperlink ref="Q27" r:id="rId26" display="https://businessday.ng/news/article/rashidi-yekini-10-things-to-know-about-the-iconic-striker/"/>
    <hyperlink ref="Q28" r:id="rId27" display="https://www.planetfootball.com/nostalgia/jay-jay-okocha-nigeria-1998-world-cup-france-spain-skilla-assists"/>
    <hyperlink ref="Q29" r:id="rId28" display="https://sportsvillagesquare.com/2019/08/15/nigeria-burkina-faso-african-games-match-marks-70-years-since-uk-tourists-ventured-out/"/>
    <hyperlink ref="Q30" r:id="rId29" display="https://soccernet.ng/2016/02/julius-aghahowa-5-things-super-eagles.html"/>
    <hyperlink ref="Q31" r:id="rId30" display="https://soccernet.ng/2026/09/super-eagles-morocco-fifa-guinea-bissau.html"/>
    <hyperlink ref="Q32" r:id="rId31" display="https://www.asmonaco.com/en/news/victor-ikpeba-certain-beat-my-record"/>
    <hyperlink ref="Q33" r:id="rId32" display="https://archivi.ng/the-archivist/stories/issue-4/green-eagles-of-nigeria-at-afcon-1980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2026-10-28T14:34:38Z</dcterms:created>
  <dc:creator>openpyxl</dc:creator>
  <dc:description/>
  <dc:language>en-US</dc:language>
  <cp:lastModifiedBy/>
  <dcterms:modified xsi:type="dcterms:W3CDTF">2026-10-28T14:34:38Z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