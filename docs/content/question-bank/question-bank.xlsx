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lang" sheetId="2" state="visible" r:id="rId4"/>
    <sheet name="Nollywood" sheetId="3" state="visible" r:id="rId5"/>
    <sheet name="Music" sheetId="4" state="visible" r:id="rId6"/>
    <sheet name="Food" sheetId="5" state="visible" r:id="rId7"/>
    <sheet name="Mixed" sheetId="6" state="visible" r:id="rId8"/>
    <sheet name="Sport" sheetId="7" state="visible" r:id="rId9"/>
  </sheets>
  <definedNames>
    <definedName function="false" hidden="true" localSheetId="4" name="_xlnm._FilterDatabase" vbProcedure="false">Food!$A$1:$V$2</definedName>
    <definedName function="false" hidden="true" localSheetId="5" name="_xlnm._FilterDatabase" vbProcedure="false">Mixed!$A$1:$V$2</definedName>
    <definedName function="false" hidden="true" localSheetId="3" name="_xlnm._FilterDatabase" vbProcedure="false">Music!$A$1:$V$2</definedName>
    <definedName function="false" hidden="true" localSheetId="2" name="_xlnm._FilterDatabase" vbProcedure="false">Nollywood!$A$1:$V$2</definedName>
    <definedName function="false" hidden="true" localSheetId="1" name="_xlnm._FilterDatabase" vbProcedure="false">Slang!$A$1:$V$2</definedName>
    <definedName function="false" hidden="true" localSheetId="6" name="_xlnm._FilterDatabase" vbProcedure="false">Sport!$A$1:$V$65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Target from docs/04 §1: 600 approved questions per category at launch. Blue = an input you can change.</t>
        </r>
      </text>
    </comment>
  </commentList>
</comments>
</file>

<file path=xl/sharedStrings.xml><?xml version="1.0" encoding="utf-8"?>
<sst xmlns="http://schemas.openxmlformats.org/spreadsheetml/2006/main" count="1313" uniqueCount="603">
  <si>
    <t xml:space="preserve">Who Sabi? question bank</t>
  </si>
  <si>
    <t xml:space="preserve">Built 2026-10-28 from the CSV files in docs/content/question-bank/. Counts update when you change a review_status.</t>
  </si>
  <si>
    <t xml:space="preserve">Category</t>
  </si>
  <si>
    <t xml:space="preserve">Questions</t>
  </si>
  <si>
    <t xml:space="preserve">To check</t>
  </si>
  <si>
    <t xml:space="preserve">Approved</t>
  </si>
  <si>
    <t xml:space="preserve">Fix needed</t>
  </si>
  <si>
    <t xml:space="preserve">Rejected</t>
  </si>
  <si>
    <t xml:space="preserve">Launch target</t>
  </si>
  <si>
    <t xml:space="preserve">Approved vs target</t>
  </si>
  <si>
    <t xml:space="preserve">Slang &amp; Pidgin</t>
  </si>
  <si>
    <t xml:space="preserve">Nollywood</t>
  </si>
  <si>
    <t xml:space="preserve">Music</t>
  </si>
  <si>
    <t xml:space="preserve">Food</t>
  </si>
  <si>
    <t xml:space="preserve">Mixed Naija</t>
  </si>
  <si>
    <t xml:space="preserve">Sport</t>
  </si>
  <si>
    <t xml:space="preserve">Total</t>
  </si>
  <si>
    <t xml:space="preserve">Difficulty mix (all questions)</t>
  </si>
  <si>
    <t xml:space="preserve">Doc 04 target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</si>
  <si>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</si>
  <si>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</si>
  <si>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</si>
  <si>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</si>
  <si>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</si>
  <si>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How to review</t>
  </si>
  <si>
    <t xml:space="preserve">1. Open a category sheet. Each row is one question; the right answer is always option_a (the game shuffles options).</t>
  </si>
  <si>
    <t xml:space="preserve">2. Open the source_url and check the fact, the spelling and that only one answer is right.</t>
  </si>
  <si>
    <t xml:space="preserve">3. Fill in only the yellow columns: review_status (approved, fix needed or rejected), reviewer, review_notes.</t>
  </si>
  <si>
    <t xml:space="preserve">   Example: approved | Ada | Checked on the CAF site, spelling fine.</t>
  </si>
  <si>
    <t xml:space="preserve">4. Upload the saved workbook to GitHub (same name, same folder) or send it back; the next build copies your marks into the CSVs.</t>
  </si>
  <si>
    <t xml:space="preserve">Only approved questions go into the game. Anything starting "As of October 2026" expires on its valid_until date.</t>
  </si>
  <si>
    <t xml:space="preserve">id</t>
  </si>
  <si>
    <t xml:space="preserve">category</t>
  </si>
  <si>
    <t xml:space="preserve">subcategory</t>
  </si>
  <si>
    <t xml:space="preserve">type</t>
  </si>
  <si>
    <t xml:space="preserve">difficulty</t>
  </si>
  <si>
    <t xml:space="preserve">question</t>
  </si>
  <si>
    <t xml:space="preserve">option_a</t>
  </si>
  <si>
    <t xml:space="preserve">option_b</t>
  </si>
  <si>
    <t xml:space="preserve">option_c</t>
  </si>
  <si>
    <t xml:space="preserve">option_d</t>
  </si>
  <si>
    <t xml:space="preserve">correct_option</t>
  </si>
  <si>
    <t xml:space="preserve">fact</t>
  </si>
  <si>
    <t xml:space="preserve">family_safe</t>
  </si>
  <si>
    <t xml:space="preserve">valid_until</t>
  </si>
  <si>
    <t xml:space="preserve">region_tag</t>
  </si>
  <si>
    <t xml:space="preserve">status</t>
  </si>
  <si>
    <t xml:space="preserve">source_url</t>
  </si>
  <si>
    <t xml:space="preserve">source_title</t>
  </si>
  <si>
    <t xml:space="preserve">added_on</t>
  </si>
  <si>
    <t xml:space="preserve">review_status</t>
  </si>
  <si>
    <t xml:space="preserve">reviewer</t>
  </si>
  <si>
    <t xml:space="preserve">review_notes</t>
  </si>
  <si>
    <t xml:space="preserve">SPT-0001</t>
  </si>
  <si>
    <t xml:space="preserve">sport</t>
  </si>
  <si>
    <t xml:space="preserve">super-eagles</t>
  </si>
  <si>
    <t xml:space="preserve">mcq4</t>
  </si>
  <si>
    <t xml:space="preserve">What was the Super Eagles' nickname before it was changed in 1988?</t>
  </si>
  <si>
    <t xml:space="preserve">Green Eagles</t>
  </si>
  <si>
    <t xml:space="preserve">Flying Eagles</t>
  </si>
  <si>
    <t xml:space="preserve">Golden Eaglets</t>
  </si>
  <si>
    <t xml:space="preserve">Dream Team</t>
  </si>
  <si>
    <t xml:space="preserve">a</t>
  </si>
  <si>
    <t xml:space="preserve">The name "Green Eagles" was proposed in a 1961 Daily Times article; before that, the team was the Red Devils.</t>
  </si>
  <si>
    <t xml:space="preserve">true</t>
  </si>
  <si>
    <t xml:space="preserve">ALL</t>
  </si>
  <si>
    <t xml:space="preserve">draft</t>
  </si>
  <si>
    <t xml:space="preserve">https://sportsvillagesquare.com/?p=79212</t>
  </si>
  <si>
    <t xml:space="preserve">Sports Village Square — Veterans salute ex-Green Eagles manager Osugo</t>
  </si>
  <si>
    <t xml:space="preserve">2026-10-28</t>
  </si>
  <si>
    <t xml:space="preserve">to check</t>
  </si>
  <si>
    <t xml:space="preserve">Sources disagree on when the 'Red Devils' nickname was used, so the fact line gives no year for it.</t>
  </si>
  <si>
    <t xml:space="preserve">SPT-0002</t>
  </si>
  <si>
    <t xml:space="preserve">In which year did Nigeria win its first Africa Cup of Nations title?</t>
  </si>
  <si>
    <t xml:space="preserve">1980</t>
  </si>
  <si>
    <t xml:space="preserve">1976</t>
  </si>
  <si>
    <t xml:space="preserve">1984</t>
  </si>
  <si>
    <t xml:space="preserve">1988</t>
  </si>
  <si>
    <t xml:space="preserve">Nigeria hosted that tournament and beat Algeria 3–0 in the final at the National Stadium in Lagos.</t>
  </si>
  <si>
    <t xml:space="preserve">https://archivi.ng/the-archivist/stories/issue-4/green-eagles-of-nigeria-at-afcon-1980</t>
  </si>
  <si>
    <t xml:space="preserve">Archivi.ng — The Green Eagles who won AFCON 1980</t>
  </si>
  <si>
    <t xml:space="preserve">SPT-0003</t>
  </si>
  <si>
    <t xml:space="preserve">Which coach led Nigeria to the 2013 Africa Cup of Nations title?</t>
  </si>
  <si>
    <t xml:space="preserve">Stephen Keshi</t>
  </si>
  <si>
    <t xml:space="preserve">Clemens Westerhof</t>
  </si>
  <si>
    <t xml:space="preserve">Gernot Rohr</t>
  </si>
  <si>
    <t xml:space="preserve">Samson Siasia</t>
  </si>
  <si>
    <t xml:space="preserve">Keshi had won AFCON as a player in 1994, matching Egypt's Mahmoud El-Gohary as a champion both on the pitch and in the dugout.</t>
  </si>
  <si>
    <t xml:space="preserve">https://www.aljazeera.com/sports/2013/2/11/nigeria-triumphs-at-africa-cup-of-nations</t>
  </si>
  <si>
    <t xml:space="preserve">Al Jazeera — Nigeria triumphs at AFCON 2013</t>
  </si>
  <si>
    <t xml:space="preserve">SPT-0004</t>
  </si>
  <si>
    <t xml:space="preserve">At which FIFA World Cup did Nigeria's senior men make their debut?</t>
  </si>
  <si>
    <t xml:space="preserve">USA 1994</t>
  </si>
  <si>
    <t xml:space="preserve">Italy 1990</t>
  </si>
  <si>
    <t xml:space="preserve">France 1998</t>
  </si>
  <si>
    <t xml:space="preserve">Mexico 1986</t>
  </si>
  <si>
    <t xml:space="preserve">On debut Nigeria topped a group with Argentina, Bulgaria and Greece, then reached the round of 16.</t>
  </si>
  <si>
    <t xml:space="preserve">https://inside.fifa.com/en/news/worldcupathome-nigeria-italy-1994-baggio-comeback</t>
  </si>
  <si>
    <t xml:space="preserve">FIFA — Baggio comeback sees Italy oust Nigeria (1994)</t>
  </si>
  <si>
    <t xml:space="preserve">SPT-0005</t>
  </si>
  <si>
    <t xml:space="preserve">Which Super Eagles legend was popularly known as "Jay-Jay"?</t>
  </si>
  <si>
    <t xml:space="preserve">Okocha</t>
  </si>
  <si>
    <t xml:space="preserve">Kanu</t>
  </si>
  <si>
    <t xml:space="preserve">Oliseh</t>
  </si>
  <si>
    <t xml:space="preserve">Amokachi</t>
  </si>
  <si>
    <t xml:space="preserve">He inherited the nickname from his elder brother James. Bolton fans sang that he was "so good they named him twice".</t>
  </si>
  <si>
    <t xml:space="preserve">https://en.wikipedia.org/wiki/Jay-Jay_Okocha</t>
  </si>
  <si>
    <t xml:space="preserve">Wikipedia — Jay-Jay Okocha</t>
  </si>
  <si>
    <t xml:space="preserve">SPT-0006</t>
  </si>
  <si>
    <t xml:space="preserve">Who scored Nigeria's first-ever goal at a FIFA World Cup?</t>
  </si>
  <si>
    <t xml:space="preserve">Rashidi Yekini</t>
  </si>
  <si>
    <t xml:space="preserve">Daniel Amokachi</t>
  </si>
  <si>
    <t xml:space="preserve">Emmanuel Amuneke</t>
  </si>
  <si>
    <t xml:space="preserve">Finidi George</t>
  </si>
  <si>
    <t xml:space="preserve">It came against Bulgaria on 21 June 1994 from a Finidi George cross. Yekini's celebration, gripping the net, became iconic.</t>
  </si>
  <si>
    <t xml:space="preserve">https://www.goal.com/en-us/news/nigerias-first-ever-world-cup-goal-and-the-five-most/blt4192f0869e6dcbd2</t>
  </si>
  <si>
    <t xml:space="preserve">Goal.com — Nigeria's first-ever World Cup goal</t>
  </si>
  <si>
    <t xml:space="preserve">SPT-0007</t>
  </si>
  <si>
    <t xml:space="preserve">Super Eagles great Nwankwo Kanu is popularly known by which nickname?</t>
  </si>
  <si>
    <t xml:space="preserve">Papilo</t>
  </si>
  <si>
    <t xml:space="preserve">Chairman</t>
  </si>
  <si>
    <t xml:space="preserve">Big Boss</t>
  </si>
  <si>
    <t xml:space="preserve">The Bull</t>
  </si>
  <si>
    <t xml:space="preserve">Kanu was named African Footballer of the Year twice, in 1996 and again in 1999.</t>
  </si>
  <si>
    <t xml:space="preserve">https://www.legit.ng/sports/football/1690304-arsenal-legend-kanu-nwankwo-papilo-sends-strong-message-super-eagles-uganda-clash/</t>
  </si>
  <si>
    <t xml:space="preserve">Legit.ng — Kanu 'Papilo' message to the Super Eagles</t>
  </si>
  <si>
    <t xml:space="preserve">The fact line (African Footballer of the Year 1996 and 1999) comes from These Football Times, not the linked page.</t>
  </si>
  <si>
    <t xml:space="preserve">SPT-0008</t>
  </si>
  <si>
    <t xml:space="preserve">Nigeria won the 2013 Africa Cup of Nations in which host country?</t>
  </si>
  <si>
    <t xml:space="preserve">South Africa</t>
  </si>
  <si>
    <t xml:space="preserve">Equatorial Guinea</t>
  </si>
  <si>
    <t xml:space="preserve">Gabon</t>
  </si>
  <si>
    <t xml:space="preserve">Ghana</t>
  </si>
  <si>
    <t xml:space="preserve">The final was played at Soccer City in Soweto. The title ended a 19-year wait for Nigeria's third AFCON crown.</t>
  </si>
  <si>
    <t xml:space="preserve">SPT-0009</t>
  </si>
  <si>
    <t xml:space="preserve">Clemens Westerhof, who took Nigeria to its first World Cup, came from which country?</t>
  </si>
  <si>
    <t xml:space="preserve">Netherlands</t>
  </si>
  <si>
    <t xml:space="preserve">Germany</t>
  </si>
  <si>
    <t xml:space="preserve">Belgium</t>
  </si>
  <si>
    <t xml:space="preserve">Denmark</t>
  </si>
  <si>
    <t xml:space="preserve">Before winning AFCON 1994, Westerhof's Nigeria finished second in 1990 and third in 1992.</t>
  </si>
  <si>
    <t xml:space="preserve">https://sportsvillagesquare.com/2020/05/02/ex-super-eagles-manager-clemens-westerhof-clocks-80</t>
  </si>
  <si>
    <t xml:space="preserve">Sports Village Square — Clemens Westerhof clocks 80</t>
  </si>
  <si>
    <t xml:space="preserve">SPT-0010</t>
  </si>
  <si>
    <t xml:space="preserve">Which brand made Nigeria's 2018 World Cup kit that sold out within minutes of release?</t>
  </si>
  <si>
    <t xml:space="preserve">Nike</t>
  </si>
  <si>
    <t xml:space="preserve">Adidas</t>
  </si>
  <si>
    <t xml:space="preserve">Puma</t>
  </si>
  <si>
    <t xml:space="preserve">Umbro</t>
  </si>
  <si>
    <t xml:space="preserve">It went on sale on 1 June 2018; Nike UK said all three Nigeria jerseys had sold out, with no plans to restock.</t>
  </si>
  <si>
    <t xml:space="preserve">https://www.thescore.com/news/1552695</t>
  </si>
  <si>
    <t xml:space="preserve">theScore — Nigeria's World Cup kit sells out in minutes</t>
  </si>
  <si>
    <t xml:space="preserve">SPT-0011</t>
  </si>
  <si>
    <t xml:space="preserve">Former Super Eagles captain and coach Stephen Keshi was affectionately called what?</t>
  </si>
  <si>
    <t xml:space="preserve">Mathematical</t>
  </si>
  <si>
    <t xml:space="preserve">As a coach, Keshi also led Togo to their first-ever World Cup qualification, for the 2006 finals.</t>
  </si>
  <si>
    <t xml:space="preserve">https://www.aljazeera.com/sports/2018/1/23/stephen-keshi-why-google-honours-him-today</t>
  </si>
  <si>
    <t xml:space="preserve">Al Jazeera — Stephen Keshi: why Google honours him</t>
  </si>
  <si>
    <t xml:space="preserve">SPT-0012</t>
  </si>
  <si>
    <t xml:space="preserve">Who scored the only goal of the 2013 AFCON final against Burkina Faso?</t>
  </si>
  <si>
    <t xml:space="preserve">Sunday Mba</t>
  </si>
  <si>
    <t xml:space="preserve">Emmanuel Emenike</t>
  </si>
  <si>
    <t xml:space="preserve">Victor Moses</t>
  </si>
  <si>
    <t xml:space="preserve">Ikechukwu Uche</t>
  </si>
  <si>
    <t xml:space="preserve">Mba flicked the ball over a defender and fired in a left-foot shot on 40 minutes at Soccer City, Soweto.</t>
  </si>
  <si>
    <t xml:space="preserve">SPT-0013</t>
  </si>
  <si>
    <t xml:space="preserve">Nigeria beat which team in the final of the 1994 Africa Cup of Nations?</t>
  </si>
  <si>
    <t xml:space="preserve">Zambia</t>
  </si>
  <si>
    <t xml:space="preserve">Ivory Coast</t>
  </si>
  <si>
    <t xml:space="preserve">Mali</t>
  </si>
  <si>
    <t xml:space="preserve">Egypt</t>
  </si>
  <si>
    <t xml:space="preserve">Emmanuel Amuneke came off the bench for the final in Tunisia and scored both of Nigeria's goals.</t>
  </si>
  <si>
    <t xml:space="preserve">https://www.thisdaylive.com/2022/10/01/emmanuel-amuneke-mission-to-zambia/</t>
  </si>
  <si>
    <t xml:space="preserve">ThisDay — Emmanuel Amuneke: Mission to Zambia</t>
  </si>
  <si>
    <t xml:space="preserve">SPT-0014</t>
  </si>
  <si>
    <t xml:space="preserve">Whose long-range strike gave Nigeria a 3–2 win over Spain at the 1998 World Cup?</t>
  </si>
  <si>
    <t xml:space="preserve">Sunday Oliseh</t>
  </si>
  <si>
    <t xml:space="preserve">Garba Lawal</t>
  </si>
  <si>
    <t xml:space="preserve">Mutiu Adepoju</t>
  </si>
  <si>
    <t xml:space="preserve">Victor Ikpeba</t>
  </si>
  <si>
    <t xml:space="preserve">The win in Nantes helped Nigeria top a group that also included Bulgaria and Paraguay.</t>
  </si>
  <si>
    <t xml:space="preserve">https://www.planetfootball.com/nostalgia/jay-jay-okocha-nigeria-1998-world-cup-france-spain-skilla-assists</t>
  </si>
  <si>
    <t xml:space="preserve">Planet Football — Nigeria at the 1998 World Cup</t>
  </si>
  <si>
    <t xml:space="preserve">SPT-0015</t>
  </si>
  <si>
    <t xml:space="preserve">Which country knocked Nigeria out in the round of 16 at their World Cup debut?</t>
  </si>
  <si>
    <t xml:space="preserve">Italy</t>
  </si>
  <si>
    <t xml:space="preserve">Argentina</t>
  </si>
  <si>
    <t xml:space="preserve">Brazil</t>
  </si>
  <si>
    <t xml:space="preserve">Bulgaria</t>
  </si>
  <si>
    <t xml:space="preserve">Amuneke put Nigeria ahead, but Roberto Baggio equalised in the 88th minute and won it with an extra-time penalty.</t>
  </si>
  <si>
    <t xml:space="preserve">SPT-0016</t>
  </si>
  <si>
    <t xml:space="preserve">Which team beat Nigeria 2–0 in the round of 16 at the 2014 World Cup?</t>
  </si>
  <si>
    <t xml:space="preserve">France</t>
  </si>
  <si>
    <t xml:space="preserve">The match was in Brasília. Paul Pogba's 79th-minute header broke the deadlock, and a stoppage-time goal sealed it.</t>
  </si>
  <si>
    <t xml:space="preserve">https://www.cbsnews.com/amp/news/world-cup-2014-france-wins-a-deceptively-close-2-0-game-against-nigeria</t>
  </si>
  <si>
    <t xml:space="preserve">CBS News — France beat Nigeria 2-0 (2014 World Cup)</t>
  </si>
  <si>
    <t xml:space="preserve">SPT-0017</t>
  </si>
  <si>
    <t xml:space="preserve">What is Jay-Jay Okocha's real first name?</t>
  </si>
  <si>
    <t xml:space="preserve">Augustine</t>
  </si>
  <si>
    <t xml:space="preserve">Emmanuel</t>
  </si>
  <si>
    <t xml:space="preserve">Sunday</t>
  </si>
  <si>
    <t xml:space="preserve">Daniel</t>
  </si>
  <si>
    <t xml:space="preserve">Okocha won 73 caps for Nigeria between 1993 and 2006 and was in the squad that won AFCON 1994.</t>
  </si>
  <si>
    <t xml:space="preserve">SPT-0018</t>
  </si>
  <si>
    <t xml:space="preserve">Which Nigerian was named Player of the Tournament at AFCON 2023?</t>
  </si>
  <si>
    <t xml:space="preserve">William Troost-Ekong</t>
  </si>
  <si>
    <t xml:space="preserve">Ademola Lookman</t>
  </si>
  <si>
    <t xml:space="preserve">Victor Osimhen</t>
  </si>
  <si>
    <t xml:space="preserve">Ola Aina</t>
  </si>
  <si>
    <t xml:space="preserve">Nigeria finished runners-up to hosts Côte d'Ivoire, but their captain still won CAF's TotalEnergies Best Player award.</t>
  </si>
  <si>
    <t xml:space="preserve">https://www.cafonline.com/caf-africa-cup-of-nations/news/totalenergies-caf-afcon-cote-d-ivoire-2023-awards/</t>
  </si>
  <si>
    <t xml:space="preserve">CAF — AFCON Côte d'Ivoire 2023 awards</t>
  </si>
  <si>
    <t xml:space="preserve">SPT-0019</t>
  </si>
  <si>
    <t xml:space="preserve">closest_number</t>
  </si>
  <si>
    <t xml:space="preserve">As of October 2026, how many FIFA World Cups have Nigeria's senior men played at?</t>
  </si>
  <si>
    <t xml:space="preserve">6</t>
  </si>
  <si>
    <t xml:space="preserve">Nigeria missed out on 2026 after losing a November 2025 playoff final to DR Congo on penalties in Rabat.</t>
  </si>
  <si>
    <t xml:space="preserve">2027-10-31</t>
  </si>
  <si>
    <t xml:space="preserve">https://www.aljazeera.com/sports/2025/11/16/dr-congo-shock-nigeria-on-penalties-to-win-african-world-cup-playoffs</t>
  </si>
  <si>
    <t xml:space="preserve">Al Jazeera — DR Congo beat Nigeria on penalties (Nov 2025)</t>
  </si>
  <si>
    <t xml:space="preserve">SPT-0020</t>
  </si>
  <si>
    <t xml:space="preserve">As of October 2026, which player holds the record for the most Super Eagles caps?</t>
  </si>
  <si>
    <t xml:space="preserve">Ahmed Musa</t>
  </si>
  <si>
    <t xml:space="preserve">Vincent Enyeama</t>
  </si>
  <si>
    <t xml:space="preserve">Joseph Yobo</t>
  </si>
  <si>
    <t xml:space="preserve">Mikel John Obi</t>
  </si>
  <si>
    <t xml:space="preserve">Musa retired from international football in December 2025 and was part of the 2013 AFCON-winning squad.</t>
  </si>
  <si>
    <t xml:space="preserve">https://www.arise.tv/nff-salutes-ahmed-musas-legacy-as-nigerias-most-capped-player-retires/</t>
  </si>
  <si>
    <t xml:space="preserve">Arise News — NFF salutes Ahmed Musa's legacy (Dec 2025)</t>
  </si>
  <si>
    <t xml:space="preserve">Check before approving: Moses Simon and Alex Iwobi are close to Ahmed Musa's caps record and could pass him; sources differ on Musa's total (110 or 111).</t>
  </si>
  <si>
    <t xml:space="preserve">SPT-0021</t>
  </si>
  <si>
    <t xml:space="preserve">Winger Segun Odegbami, a hero of Nigeria's first AFCON win, had which nickname?</t>
  </si>
  <si>
    <t xml:space="preserve">Odegbami scored twice in the 3–0 final win over Algeria; the nickname reflects the precision of his dribbling.</t>
  </si>
  <si>
    <t xml:space="preserve">SPT-0022</t>
  </si>
  <si>
    <t xml:space="preserve">Who captained Nigeria to their first Africa Cup of Nations title?</t>
  </si>
  <si>
    <t xml:space="preserve">Christian Chukwu</t>
  </si>
  <si>
    <t xml:space="preserve">Segun Odegbami</t>
  </si>
  <si>
    <t xml:space="preserve">Muda Lawal</t>
  </si>
  <si>
    <t xml:space="preserve">Best Ogedegbe</t>
  </si>
  <si>
    <t xml:space="preserve">Fondly called "Chairman", Chukwu later coached the Super Eagles to third place at AFCON 2004 in Tunisia.</t>
  </si>
  <si>
    <t xml:space="preserve">https://nannews.ng/nigeria-lost-a-true-icon-in-chukwu-nsc-d-g/</t>
  </si>
  <si>
    <t xml:space="preserve">NAN — Nigeria lost a true icon in Chukwu</t>
  </si>
  <si>
    <t xml:space="preserve">SPT-0023</t>
  </si>
  <si>
    <t xml:space="preserve">Who was the first Super Eagles player to reach 100 international caps?</t>
  </si>
  <si>
    <t xml:space="preserve">Nwankwo Kanu</t>
  </si>
  <si>
    <t xml:space="preserve">Yobo's 100th cap came against France in the round of 16 of the 2014 World Cup.</t>
  </si>
  <si>
    <t xml:space="preserve">https://www.foxnews.com/sports/joseph-yobo-announces-international-retirement-after-scoring-own-goal-in-100th-cap-for-nigeria.amp</t>
  </si>
  <si>
    <t xml:space="preserve">Fox News/AP — Yobo's 100th cap for Nigeria (2014)</t>
  </si>
  <si>
    <t xml:space="preserve">SPT-0024</t>
  </si>
  <si>
    <t xml:space="preserve">Who became the first Nigerian to score at two different World Cups, in 2018?</t>
  </si>
  <si>
    <t xml:space="preserve">Odion Ighalo</t>
  </si>
  <si>
    <t xml:space="preserve">Kelechi Iheanacho</t>
  </si>
  <si>
    <t xml:space="preserve">His double against Iceland in Volgograd followed two goals against Argentina at the 2014 finals.</t>
  </si>
  <si>
    <t xml:space="preserve">https://www.beinsports.com/en-mena/articles-video/2018-fifa-world-cup-nigeria-beat-iceland-2-0-</t>
  </si>
  <si>
    <t xml:space="preserve">beIN Sports — Nigeria beat Iceland 2-0 (2018)</t>
  </si>
  <si>
    <t xml:space="preserve">SPT-0025</t>
  </si>
  <si>
    <t xml:space="preserve">As of October 2026, Nigeria's biggest-ever win, 10–0 in 2022, was against which team?</t>
  </si>
  <si>
    <t xml:space="preserve">São Tomé and Príncipe</t>
  </si>
  <si>
    <t xml:space="preserve">Seychelles</t>
  </si>
  <si>
    <t xml:space="preserve">Djibouti</t>
  </si>
  <si>
    <t xml:space="preserve">Mauritius</t>
  </si>
  <si>
    <t xml:space="preserve">Victor Osimhen scored four in Agadir. The old record was a 10–1 win over Dahomey (now Benin) in 1959.</t>
  </si>
  <si>
    <t xml:space="preserve">https://thewillnews.com/nigeria-register-biggest-ever-win-in-10-nil-thrashing-of-sao-tome/</t>
  </si>
  <si>
    <t xml:space="preserve">The Will — Nigeria's biggest-ever win, 10-0 v São Tomé</t>
  </si>
  <si>
    <t xml:space="preserve">SPT-0026</t>
  </si>
  <si>
    <t xml:space="preserve">How many goals did Rashidi Yekini score for Nigeria in his international career?</t>
  </si>
  <si>
    <t xml:space="preserve">37</t>
  </si>
  <si>
    <t xml:space="preserve">In 1993, Yekini became the first Nigerian to be named African Footballer of the Year.</t>
  </si>
  <si>
    <t xml:space="preserve">https://businessday.ng/news/article/rashidi-yekini-10-things-to-know-about-the-iconic-striker/</t>
  </si>
  <si>
    <t xml:space="preserve">BusinessDay — Rashidi Yekini: 10 things to know</t>
  </si>
  <si>
    <t xml:space="preserve">SPT-0027</t>
  </si>
  <si>
    <t xml:space="preserve">Who coached Nigeria at the 1998 World Cup in France?</t>
  </si>
  <si>
    <t xml:space="preserve">Bora Milutinović</t>
  </si>
  <si>
    <t xml:space="preserve">Jo Bonfrere</t>
  </si>
  <si>
    <t xml:space="preserve">Philippe Troussier</t>
  </si>
  <si>
    <t xml:space="preserve">He was appointed six months before the finals, having previously managed Mexico, Costa Rica and the USA.</t>
  </si>
  <si>
    <t xml:space="preserve">SPT-0028</t>
  </si>
  <si>
    <t xml:space="preserve">In 1949, Nigeria's pioneering footballers toured which country, often playing barefoot?</t>
  </si>
  <si>
    <t xml:space="preserve">United Kingdom</t>
  </si>
  <si>
    <t xml:space="preserve">Portugal</t>
  </si>
  <si>
    <t xml:space="preserve">The 18-man squad sailed on the MV Apapa, then beat Sierra Leone 2–0 in Freetown on the way home in October 1949.</t>
  </si>
  <si>
    <t xml:space="preserve">https://sportsvillagesquare.com/2019/08/15/nigeria-burkina-faso-african-games-match-marks-70-years-since-uk-tourists-ventured-out/</t>
  </si>
  <si>
    <t xml:space="preserve">Sports Village Square — 70 years since the UK Tourists</t>
  </si>
  <si>
    <t xml:space="preserve">SPT-0029</t>
  </si>
  <si>
    <t xml:space="preserve">Who scored Nigeria's only goal of the 2002 World Cup?</t>
  </si>
  <si>
    <t xml:space="preserve">Julius Aghahowa</t>
  </si>
  <si>
    <t xml:space="preserve">Jay-Jay Okocha</t>
  </si>
  <si>
    <t xml:space="preserve">Bartholomew Ogbeche</t>
  </si>
  <si>
    <t xml:space="preserve">His header against Sweden came from a Joseph Yobo cross, and he celebrated with his trademark backflips.</t>
  </si>
  <si>
    <t xml:space="preserve">https://soccernet.ng/2016/02/julius-aghahowa-5-things-super-eagles.html</t>
  </si>
  <si>
    <t xml:space="preserve">Soccernet.ng — Julius Aghahowa: 5 things</t>
  </si>
  <si>
    <t xml:space="preserve">SPT-0030</t>
  </si>
  <si>
    <t xml:space="preserve">As of October 2026, what is the highest FIFA ranking Nigeria's men have ever reached?</t>
  </si>
  <si>
    <t xml:space="preserve">5</t>
  </si>
  <si>
    <t xml:space="preserve">The Super Eagles climbed to that position in April 1994, a few months before their first World Cup.</t>
  </si>
  <si>
    <t xml:space="preserve">https://soccernet.ng/2026/09/super-eagles-morocco-fifa-guinea-bissau.html</t>
  </si>
  <si>
    <t xml:space="preserve">Soccernet.ng — Nigeria's best FIFA ranking (Sep 2026)</t>
  </si>
  <si>
    <t xml:space="preserve">SPT-0031</t>
  </si>
  <si>
    <t xml:space="preserve">Which Nigerian, nicknamed the "Prince of Monaco", was African Footballer of the Year in 1997?</t>
  </si>
  <si>
    <t xml:space="preserve">Taribo West</t>
  </si>
  <si>
    <t xml:space="preserve">Celestine Babayaro</t>
  </si>
  <si>
    <t xml:space="preserve">A Nigerian reporter coined the nickname after he said he was "living like a prince" in Monaco.</t>
  </si>
  <si>
    <t xml:space="preserve">https://www.asmonaco.com/en/news/victor-ikpeba-certain-beat-my-record</t>
  </si>
  <si>
    <t xml:space="preserve">AS Monaco — Victor Ikpeba interview</t>
  </si>
  <si>
    <t xml:space="preserve">SPT-0032</t>
  </si>
  <si>
    <t xml:space="preserve">Which coach guided Nigeria to their first Africa Cup of Nations title?</t>
  </si>
  <si>
    <t xml:space="preserve">Otto Glória</t>
  </si>
  <si>
    <t xml:space="preserve">Manfred Höner</t>
  </si>
  <si>
    <t xml:space="preserve">Adegboye Onigbinde</t>
  </si>
  <si>
    <t xml:space="preserve">Tiko Jelisavčić</t>
  </si>
  <si>
    <t xml:space="preserve">The Brazilian had earlier guided Portugal to third place at the 1966 World Cup.</t>
  </si>
  <si>
    <t xml:space="preserve">Check the spelling of the three wrong options (former Nigeria coaches); they were not checked on the web.</t>
  </si>
  <si>
    <t xml:space="preserve">SPT-0401</t>
  </si>
  <si>
    <t xml:space="preserve">basketball</t>
  </si>
  <si>
    <t xml:space="preserve">Hakeem Olajuwon won back-to-back NBA titles in 1994 and 1995 with which team?</t>
  </si>
  <si>
    <t xml:space="preserve">Houston Rockets</t>
  </si>
  <si>
    <t xml:space="preserve">Chicago Bulls</t>
  </si>
  <si>
    <t xml:space="preserve">Los Angeles Lakers</t>
  </si>
  <si>
    <t xml:space="preserve">Boston Celtics</t>
  </si>
  <si>
    <t xml:space="preserve">He only took up basketball at 15, having played football as a goalkeeper and handball while growing up in Nigeria.</t>
  </si>
  <si>
    <t xml:space="preserve">SW</t>
  </si>
  <si>
    <t xml:space="preserve">https://www.nba.com/news/history-nba-legend-hakeem-olajuwon</t>
  </si>
  <si>
    <t xml:space="preserve">NBA.com: 75 Stories – Hakeem Olajuwon</t>
  </si>
  <si>
    <t xml:space="preserve">SPT-0402</t>
  </si>
  <si>
    <t xml:space="preserve">traditional-sports</t>
  </si>
  <si>
    <t xml:space="preserve">Which traditional ruler is the central figure in the Kano Durbar's grand parade of horsemen?</t>
  </si>
  <si>
    <t xml:space="preserve">The Emir</t>
  </si>
  <si>
    <t xml:space="preserve">The Oba</t>
  </si>
  <si>
    <t xml:space="preserve">The Obi</t>
  </si>
  <si>
    <t xml:space="preserve">The Amanyanabo</t>
  </si>
  <si>
    <t xml:space="preserve">The Durbar is held at both Eid celebrations, and UNESCO added it to its intangible cultural heritage list in December 2024.</t>
  </si>
  <si>
    <t xml:space="preserve">N</t>
  </si>
  <si>
    <t xml:space="preserve">https://www.enca.com/lifestyle/eid-festivities-north-nigeria-make-unesco-heritage-list</t>
  </si>
  <si>
    <t xml:space="preserve">eNCA: Eid festivities in north Nigeria make UNESCO heritage list</t>
  </si>
  <si>
    <t xml:space="preserve">SPT-0403</t>
  </si>
  <si>
    <t xml:space="preserve">The Argungu Fishing Festival, where fishermen compete with nets and calabashes, is held in which state?</t>
  </si>
  <si>
    <t xml:space="preserve">Kebbi</t>
  </si>
  <si>
    <t xml:space="preserve">Sokoto</t>
  </si>
  <si>
    <t xml:space="preserve">Niger</t>
  </si>
  <si>
    <t xml:space="preserve">Kwara</t>
  </si>
  <si>
    <t xml:space="preserve">First held in 1934, its February 2026 edition was won with a 59 kg croaker pulled from the Matan Fada river.</t>
  </si>
  <si>
    <t xml:space="preserve">https://www.aljazeera.com/gallery/2026/2/15/nigerias-argungu-fishing-contest-marks-return-after-years-of-pause</t>
  </si>
  <si>
    <t xml:space="preserve">Al Jazeera: Argungu fishing contest returns</t>
  </si>
  <si>
    <t xml:space="preserve">SPT-0404</t>
  </si>
  <si>
    <t xml:space="preserve">mma</t>
  </si>
  <si>
    <t xml:space="preserve">Kamaru Usman and Israel Adesanya both won world titles in which mixed martial arts promotion?</t>
  </si>
  <si>
    <t xml:space="preserve">UFC</t>
  </si>
  <si>
    <t xml:space="preserve">Bellator</t>
  </si>
  <si>
    <t xml:space="preserve">ONE Championship</t>
  </si>
  <si>
    <t xml:space="preserve">PFL</t>
  </si>
  <si>
    <t xml:space="preserve">In 2019 Usman beat Tyron Woodley for the welterweight belt, becoming the first African-born UFC champion.</t>
  </si>
  <si>
    <t xml:space="preserve">https://www.africanews.com/amp/2021/04/26/african-born-champions-take-over-ufc-by-storm/</t>
  </si>
  <si>
    <t xml:space="preserve">Africanews: African-born champions take over UFC</t>
  </si>
  <si>
    <t xml:space="preserve">SPT-0405</t>
  </si>
  <si>
    <t xml:space="preserve">chess-and-scrabble</t>
  </si>
  <si>
    <t xml:space="preserve">In 2015, Wellington Jighere became the first African world champion in which board game?</t>
  </si>
  <si>
    <t xml:space="preserve">Scrabble</t>
  </si>
  <si>
    <t xml:space="preserve">Chess</t>
  </si>
  <si>
    <t xml:space="preserve">Draughts</t>
  </si>
  <si>
    <t xml:space="preserve">Ayo</t>
  </si>
  <si>
    <t xml:space="preserve">He swept England's Lewis Mackay 4–0 in the best-of-seven final in Perth, Australia.</t>
  </si>
  <si>
    <t xml:space="preserve">SS</t>
  </si>
  <si>
    <t xml:space="preserve">https://en.wikipedia.org/wiki/World_Scrabble_Championship_2015</t>
  </si>
  <si>
    <t xml:space="preserve">Wikipedia: World Scrabble Championship 2015</t>
  </si>
  <si>
    <t xml:space="preserve">SPT-0406</t>
  </si>
  <si>
    <t xml:space="preserve">Lagos-born UFC star Israel Adesanya fights under which nickname?</t>
  </si>
  <si>
    <t xml:space="preserve">The Last Stylebender</t>
  </si>
  <si>
    <t xml:space="preserve">The Predator</t>
  </si>
  <si>
    <t xml:space="preserve">The Black Beast</t>
  </si>
  <si>
    <t xml:space="preserve">Bones</t>
  </si>
  <si>
    <t xml:space="preserve">He became undisputed middleweight champion by knocking out Robert Whittaker at UFC 243 in October 2019.</t>
  </si>
  <si>
    <t xml:space="preserve">https://www.ufc.com/athlete/israel-adesanya</t>
  </si>
  <si>
    <t xml:space="preserve">UFC.com: Israel Adesanya athlete profile</t>
  </si>
  <si>
    <t xml:space="preserve">SPT-0407</t>
  </si>
  <si>
    <t xml:space="preserve">Auchi-born UFC fighter Kamaru Usman is known by which nickname?</t>
  </si>
  <si>
    <t xml:space="preserve">The Nigerian Nightmare</t>
  </si>
  <si>
    <t xml:space="preserve">Rocky</t>
  </si>
  <si>
    <t xml:space="preserve">Before MMA he was a 2010 NCAA Division II national wrestling champion at the University of Nebraska at Kearney.</t>
  </si>
  <si>
    <t xml:space="preserve">https://www.ufc.com/athlete/kamaru-usman</t>
  </si>
  <si>
    <t xml:space="preserve">UFC.com: Kamaru Usman athlete profile</t>
  </si>
  <si>
    <t xml:space="preserve">SPT-0408</t>
  </si>
  <si>
    <t xml:space="preserve">NBA star Giannis Antetokounmpo's family surname, from his Nigerian parents, was originally spelt how?</t>
  </si>
  <si>
    <t xml:space="preserve">Adetokunbo</t>
  </si>
  <si>
    <t xml:space="preserve">Adekunle</t>
  </si>
  <si>
    <t xml:space="preserve">Adeyemi</t>
  </si>
  <si>
    <t xml:space="preserve">Adebayo</t>
  </si>
  <si>
    <t xml:space="preserve">His parents moved from Lagos to Greece in 1991; the spelling on his Greek passport turned Adetokunbo into Antetokounmpo.</t>
  </si>
  <si>
    <t xml:space="preserve">https://andscape.com/features/bucks-giannis-antetokounmpo-greek-freak-wants-to-go-back-to-his-nigerian-roots</t>
  </si>
  <si>
    <t xml:space="preserve">Andscape: Giannis wants to go back to his Nigerian roots</t>
  </si>
  <si>
    <t xml:space="preserve">SPT-0409</t>
  </si>
  <si>
    <t xml:space="preserve">Chess champion Tunde Onakoya founded which initiative that teaches chess to children in places like Makoko?</t>
  </si>
  <si>
    <t xml:space="preserve">Chess in Slums Africa</t>
  </si>
  <si>
    <t xml:space="preserve">Giants of Africa</t>
  </si>
  <si>
    <t xml:space="preserve">Knights of Lagos</t>
  </si>
  <si>
    <t xml:space="preserve">Pawns to Kings</t>
  </si>
  <si>
    <t xml:space="preserve">Its sessions pair chess lessons with literacy and numeracy for children in underserved communities.</t>
  </si>
  <si>
    <t xml:space="preserve">https://www.icirnigeria.org/tunde-onakoya-sets-new-gwr-with-64-hour-chess-marathon-in-new-york/</t>
  </si>
  <si>
    <t xml:space="preserve">ICIR: Onakoya sets new GWR with 64-hour chess marathon</t>
  </si>
  <si>
    <t xml:space="preserve">Two wrong options are invented names; confirm no real group uses them.</t>
  </si>
  <si>
    <t xml:space="preserve">SPT-0410</t>
  </si>
  <si>
    <t xml:space="preserve">other-sports</t>
  </si>
  <si>
    <t xml:space="preserve">At PyeongChang 2018, Seun Adigun led Africa's first-ever Olympic team in which winter sport?</t>
  </si>
  <si>
    <t xml:space="preserve">Bobsleigh</t>
  </si>
  <si>
    <t xml:space="preserve">Curling</t>
  </si>
  <si>
    <t xml:space="preserve">Ice hockey</t>
  </si>
  <si>
    <t xml:space="preserve">Biathlon</t>
  </si>
  <si>
    <t xml:space="preserve">Brakewoman Akuoma Omeoga was in her crew, and a Nigerian skeleton athlete also raced on the same track at those Games.</t>
  </si>
  <si>
    <t xml:space="preserve">https://www.boston.com/sports/olympics/2018/02/20/nigeria-savors-its-olympic-bobsled-debut-moment/</t>
  </si>
  <si>
    <t xml:space="preserve">Boston.com: Nigeria savors its Olympic bobsled debut</t>
  </si>
  <si>
    <t xml:space="preserve">SPT-0411</t>
  </si>
  <si>
    <t xml:space="preserve">Chika Chukwumerije won Olympic bronze for Nigeria at Beijing 2008 in which sport?</t>
  </si>
  <si>
    <t xml:space="preserve">Taekwondo</t>
  </si>
  <si>
    <t xml:space="preserve">Judo</t>
  </si>
  <si>
    <t xml:space="preserve">Boxing</t>
  </si>
  <si>
    <t xml:space="preserve">Wrestling</t>
  </si>
  <si>
    <t xml:space="preserve">He won the +80 kg bronze through the repechage, a year after taking African Games gold in Algiers.</t>
  </si>
  <si>
    <t xml:space="preserve">https://en.wikipedia.org/wiki/Chika_Chukwumerije</t>
  </si>
  <si>
    <t xml:space="preserve">Wikipedia: Chika Chukwumerije</t>
  </si>
  <si>
    <t xml:space="preserve">Region set to ALL because the source does not give a home state.</t>
  </si>
  <si>
    <t xml:space="preserve">SPT-0412</t>
  </si>
  <si>
    <t xml:space="preserve">boxing</t>
  </si>
  <si>
    <t xml:space="preserve">Boxing great Dick Tiger, a world champion at two weights, was born in Amaigbo in which present-day state?</t>
  </si>
  <si>
    <t xml:space="preserve">Imo</t>
  </si>
  <si>
    <t xml:space="preserve">Anambra</t>
  </si>
  <si>
    <t xml:space="preserve">Abia</t>
  </si>
  <si>
    <t xml:space="preserve">Enugu</t>
  </si>
  <si>
    <t xml:space="preserve">In 1963 he beat Gene Fullmer at Liberty Stadium, Ibadan, the first world title fight held on African soil.</t>
  </si>
  <si>
    <t xml:space="preserve">SE</t>
  </si>
  <si>
    <t xml:space="preserve">https://en.wikipedia.org/wiki/Dick_Tiger</t>
  </si>
  <si>
    <t xml:space="preserve">Wikipedia: Dick Tiger</t>
  </si>
  <si>
    <t xml:space="preserve">SPT-0413</t>
  </si>
  <si>
    <t xml:space="preserve">Hogan 'Kid' Bassey, Nigeria's first world boxing champion, won his title in which weight class?</t>
  </si>
  <si>
    <t xml:space="preserve">Featherweight</t>
  </si>
  <si>
    <t xml:space="preserve">Bantamweight</t>
  </si>
  <si>
    <t xml:space="preserve">Lightweight</t>
  </si>
  <si>
    <t xml:space="preserve">Middleweight</t>
  </si>
  <si>
    <t xml:space="preserve">Born Okon Asuquo Bassey in Creek Town, Calabar, he won the title by stopping Cherif Hamia in Paris in June 1957.</t>
  </si>
  <si>
    <t xml:space="preserve">https://en.wikipedia.org/wiki/Hogan_Bassey</t>
  </si>
  <si>
    <t xml:space="preserve">Wikipedia: Hogan Bassey</t>
  </si>
  <si>
    <t xml:space="preserve">SPT-0414</t>
  </si>
  <si>
    <t xml:space="preserve">The parents of British boxer Anthony Joshua, of Nigerian heritage, both grew up in which Ogun State town?</t>
  </si>
  <si>
    <t xml:space="preserve">Sagamu</t>
  </si>
  <si>
    <t xml:space="preserve">Abeokuta</t>
  </si>
  <si>
    <t xml:space="preserve">Ijebu-Ode</t>
  </si>
  <si>
    <t xml:space="preserve">Ilaro</t>
  </si>
  <si>
    <t xml:space="preserve">As a boy he boarded at Mayflower School in Ikenne, and he later won super-heavyweight gold at the London 2012 Olympics.</t>
  </si>
  <si>
    <t xml:space="preserve">https://en.wikipedia.org/wiki/Anthony_Joshua</t>
  </si>
  <si>
    <t xml:space="preserve">Wikipedia: Anthony Joshua</t>
  </si>
  <si>
    <t xml:space="preserve">SPT-0415</t>
  </si>
  <si>
    <t xml:space="preserve">Masai Ujiri, who grew up in Zaria, founded which basketball development programme in 2003?</t>
  </si>
  <si>
    <t xml:space="preserve">Hoops for Africa</t>
  </si>
  <si>
    <t xml:space="preserve">Lions of the Court</t>
  </si>
  <si>
    <t xml:space="preserve">Africa Dream Camp</t>
  </si>
  <si>
    <t xml:space="preserve">As president of the Toronto Raptors, he oversaw the franchise's first NBA title in 2019.</t>
  </si>
  <si>
    <t xml:space="preserve">https://en.wikipedia.org/wiki/Masai_Ujiri</t>
  </si>
  <si>
    <t xml:space="preserve">Wikipedia: Masai Ujiri</t>
  </si>
  <si>
    <t xml:space="preserve">Wrong options are invented names; confirm no real organisation uses them.</t>
  </si>
  <si>
    <t xml:space="preserve">SPT-0416</t>
  </si>
  <si>
    <t xml:space="preserve">Which club represented Nigeria in the first Basketball Africa League season in 2021?</t>
  </si>
  <si>
    <t xml:space="preserve">Rivers Hoopers</t>
  </si>
  <si>
    <t xml:space="preserve">Kwara Falcons</t>
  </si>
  <si>
    <t xml:space="preserve">Gombe Bulls</t>
  </si>
  <si>
    <t xml:space="preserve">Ebun Comets</t>
  </si>
  <si>
    <t xml:space="preserve">The whole 12-team season was played at Kigali Arena in Rwanda, and Egypt's Zamalek were crowned champions.</t>
  </si>
  <si>
    <t xml:space="preserve">https://en.wikipedia.org/wiki/2021_BAL_season</t>
  </si>
  <si>
    <t xml:space="preserve">Wikipedia: 2021 BAL season</t>
  </si>
  <si>
    <t xml:space="preserve">SPT-0417</t>
  </si>
  <si>
    <t xml:space="preserve">In dambe, the traditional Hausa combat sport, what is the wrapped striking fist called?</t>
  </si>
  <si>
    <t xml:space="preserve">The spear</t>
  </si>
  <si>
    <t xml:space="preserve">The shield</t>
  </si>
  <si>
    <t xml:space="preserve">The hammer</t>
  </si>
  <si>
    <t xml:space="preserve">The arrow</t>
  </si>
  <si>
    <t xml:space="preserve">The open guard hand is called the shield, and a bout usually runs over three rounds with no fixed time limit.</t>
  </si>
  <si>
    <t xml:space="preserve">https://en.wikipedia.org/wiki/Dambe</t>
  </si>
  <si>
    <t xml:space="preserve">Wikipedia: Dambe</t>
  </si>
  <si>
    <t xml:space="preserve">SPT-0418</t>
  </si>
  <si>
    <t xml:space="preserve">What is the Hausa name for traditional wrestling in northern Nigeria and Niger?</t>
  </si>
  <si>
    <t xml:space="preserve">Kokawa</t>
  </si>
  <si>
    <t xml:space="preserve">Mgba</t>
  </si>
  <si>
    <t xml:space="preserve">Ijakadi</t>
  </si>
  <si>
    <t xml:space="preserve">Gidigbo</t>
  </si>
  <si>
    <t xml:space="preserve">Dambe's striking side was split off from it, and both are still performed in the same traditional ring.</t>
  </si>
  <si>
    <t xml:space="preserve">https://en.wikipedia.org/wiki/Lutte_Traditionnelle</t>
  </si>
  <si>
    <t xml:space="preserve">Wikipedia: Lutte Traditionnelle</t>
  </si>
  <si>
    <t xml:space="preserve">SPT-0419</t>
  </si>
  <si>
    <t xml:space="preserve">wrestling</t>
  </si>
  <si>
    <t xml:space="preserve">Who won Nigeria's first Olympic medal in wrestling, a silver at Tokyo 2020?</t>
  </si>
  <si>
    <t xml:space="preserve">Blessing Oborududu</t>
  </si>
  <si>
    <t xml:space="preserve">Odunayo Adekuoroye</t>
  </si>
  <si>
    <t xml:space="preserve">Mercy Genesis</t>
  </si>
  <si>
    <t xml:space="preserve">Aminat Adeniyi</t>
  </si>
  <si>
    <t xml:space="preserve">She took silver in the women's 68 kg, losing the final to American Tamyra Mensah-Stock.</t>
  </si>
  <si>
    <t xml:space="preserve">https://en.wikipedia.org/wiki/Blessing_Oborududu</t>
  </si>
  <si>
    <t xml:space="preserve">Wikipedia: Blessing Oborududu</t>
  </si>
  <si>
    <t xml:space="preserve">Two wrong options (Mercy Genesis, Aminat Adeniyi) were named without a web check; confirm spelling.</t>
  </si>
  <si>
    <t xml:space="preserve">SPT-0420</t>
  </si>
  <si>
    <t xml:space="preserve">Bayelsa-born wrestler Daniel Igali won Olympic gold at Sydney 2000 representing which country?</t>
  </si>
  <si>
    <t xml:space="preserve">Canada</t>
  </si>
  <si>
    <t xml:space="preserve">Nigeria</t>
  </si>
  <si>
    <t xml:space="preserve">United States</t>
  </si>
  <si>
    <t xml:space="preserve">Great Britain</t>
  </si>
  <si>
    <t xml:space="preserve">He also won the 1999 world title at 69 kg and was later elected president of the Nigeria Wrestling Federation.</t>
  </si>
  <si>
    <t xml:space="preserve">https://en.wikipedia.org/wiki/Daniel_Igali</t>
  </si>
  <si>
    <t xml:space="preserve">Wikipedia: Daniel Igali</t>
  </si>
  <si>
    <t xml:space="preserve">SPT-0421</t>
  </si>
  <si>
    <t xml:space="preserve">In April 2025, Tunde Onakoya set the Guinness World Record for the longest chess marathon. How many hours?</t>
  </si>
  <si>
    <t xml:space="preserve">64</t>
  </si>
  <si>
    <t xml:space="preserve">Played with Shawn Martinez in New York's Times Square, the marathon ran to 473 games of chess.</t>
  </si>
  <si>
    <t xml:space="preserve">https://www.guinnessworldrecords.com/world-records/longest-chess-marathon</t>
  </si>
  <si>
    <t xml:space="preserve">Guinness World Records: Longest chess marathon</t>
  </si>
  <si>
    <t xml:space="preserve">Guinness record is 64 hours (April 2025), not the 2024 Times Square attempt.</t>
  </si>
  <si>
    <t xml:space="preserve">SPT-0422</t>
  </si>
  <si>
    <t xml:space="preserve">Boxing greats Dick Tiger and Hogan 'Kid' Bassey both launched their pro careers from which English city?</t>
  </si>
  <si>
    <t xml:space="preserve">Liverpool</t>
  </si>
  <si>
    <t xml:space="preserve">Manchester</t>
  </si>
  <si>
    <t xml:space="preserve">London</t>
  </si>
  <si>
    <t xml:space="preserve">Birmingham</t>
  </si>
  <si>
    <t xml:space="preserve">Liverpool boxer-turned-manager Peter Banasko played a key role in launching both men's careers.</t>
  </si>
  <si>
    <t xml:space="preserve">https://www.liverpoolfootprint.co.uk/boxers</t>
  </si>
  <si>
    <t xml:space="preserve">Liverpool Footprint: Liverpool – The Boxing City</t>
  </si>
  <si>
    <t xml:space="preserve">SPT-0423</t>
  </si>
  <si>
    <t xml:space="preserve">Nigeria's D'Tigers qualified for the London 2012 Olympics at a qualifying tournament in which country?</t>
  </si>
  <si>
    <t xml:space="preserve">Venezuela</t>
  </si>
  <si>
    <t xml:space="preserve">Greece</t>
  </si>
  <si>
    <t xml:space="preserve">Lithuania</t>
  </si>
  <si>
    <t xml:space="preserve">Spain</t>
  </si>
  <si>
    <t xml:space="preserve">In Caracas they edged Greece 80–79 in the quarter-final, then beat the Dominican Republic to take the last Olympic place.</t>
  </si>
  <si>
    <t xml:space="preserve">https://en.wikipedia.org/wiki/2012_FIBA_World_Olympic_Qualifying_Tournament_for_Men</t>
  </si>
  <si>
    <t xml:space="preserve">Wikipedia: 2012 FIBA World Olympic Qualifying Tournament for Men</t>
  </si>
  <si>
    <t xml:space="preserve">SPT-0424</t>
  </si>
  <si>
    <t xml:space="preserve">table-tennis</t>
  </si>
  <si>
    <t xml:space="preserve">At Rio 2016, Quadri Aruna became Africa's first Olympic table tennis quarter-finalist by beating which German?</t>
  </si>
  <si>
    <t xml:space="preserve">Timo Boll</t>
  </si>
  <si>
    <t xml:space="preserve">Dimitrij Ovtcharov</t>
  </si>
  <si>
    <t xml:space="preserve">Patrick Franziska</t>
  </si>
  <si>
    <t xml:space="preserve">Dang Qiu</t>
  </si>
  <si>
    <t xml:space="preserve">The Oyo-born star also stunned fifth seed Chuang Chih-yuan 4–0 before Ma Long ended his run in the last eight.</t>
  </si>
  <si>
    <t xml:space="preserve">https://en.wikipedia.org/wiki/Quadri_Aruna</t>
  </si>
  <si>
    <t xml:space="preserve">Wikipedia: Quadri Aruna</t>
  </si>
  <si>
    <t xml:space="preserve">Source is Wikipedia (ITTF and Olympics.com pages would not load). Confirm the Timo Boll win on an ITTF page.</t>
  </si>
  <si>
    <t xml:space="preserve">SPT-0425</t>
  </si>
  <si>
    <t xml:space="preserve">Up to Tokyo 2020, how many Olympic Games had table tennis star Funke Oshonaike competed at?</t>
  </si>
  <si>
    <t xml:space="preserve">Seven</t>
  </si>
  <si>
    <t xml:space="preserve">Five</t>
  </si>
  <si>
    <t xml:space="preserve">Six</t>
  </si>
  <si>
    <t xml:space="preserve">Eight</t>
  </si>
  <si>
    <t xml:space="preserve">She carried Nigeria's flag at the Rio 2016 opening ceremony and partnered Bose Kaffo in Olympic doubles three times.</t>
  </si>
  <si>
    <t xml:space="preserve">https://www.olympedia.org/athletes/1014</t>
  </si>
  <si>
    <t xml:space="preserve">Olympedia: Funke Oshonaike</t>
  </si>
  <si>
    <t xml:space="preserve">SPT-0426</t>
  </si>
  <si>
    <t xml:space="preserve">Odunayo Adekuoroye won Commonwealth wrestling gold at Glasgow 2014, Gold Coast 2018 and which other Games?</t>
  </si>
  <si>
    <t xml:space="preserve">Birmingham 2022</t>
  </si>
  <si>
    <t xml:space="preserve">Delhi 2010</t>
  </si>
  <si>
    <t xml:space="preserve">Melbourne 2006</t>
  </si>
  <si>
    <t xml:space="preserve">Manchester 2002</t>
  </si>
  <si>
    <t xml:space="preserve">The Ondo-born wrestler also won world championship silver in Paris in 2017, plus three world bronzes.</t>
  </si>
  <si>
    <t xml:space="preserve">https://en.wikipedia.org/wiki/Odunayo_Adekuoroye</t>
  </si>
  <si>
    <t xml:space="preserve">Wikipedia: Odunayo Adekuoroye</t>
  </si>
  <si>
    <t xml:space="preserve">SPT-0427</t>
  </si>
  <si>
    <t xml:space="preserve">Ehugbo (Afikpo) in Ebonyi State is famous for which traditional wrestling festival?</t>
  </si>
  <si>
    <t xml:space="preserve">Dambe</t>
  </si>
  <si>
    <t xml:space="preserve">It is held every two years after the farming season, and the Nkpoghoro community is regarded as its originator.</t>
  </si>
  <si>
    <t xml:space="preserve">https://newtelegraphng.com/?p=444625</t>
  </si>
  <si>
    <t xml:space="preserve">New Telegraph: Wrestling – A Culture of Strength, Courage in Ehugbo</t>
  </si>
  <si>
    <t xml:space="preserve">SPT-0428</t>
  </si>
  <si>
    <t xml:space="preserve">Samuel Peter won the WBC heavyweight title in March 2008 by beating which champion in Cancún?</t>
  </si>
  <si>
    <t xml:space="preserve">Oleg Maskaev</t>
  </si>
  <si>
    <t xml:space="preserve">Vitali Klitschko</t>
  </si>
  <si>
    <t xml:space="preserve">Wladimir Klitschko</t>
  </si>
  <si>
    <t xml:space="preserve">Hasim Rahman</t>
  </si>
  <si>
    <t xml:space="preserve">He won by sixth-round stoppage; the Akwa Ibom-born puncher had earlier boxed for Nigeria at the Sydney 2000 Olympics.</t>
  </si>
  <si>
    <t xml:space="preserve">https://en.wikipedia.org/wiki/Samuel_Peter</t>
  </si>
  <si>
    <t xml:space="preserve">Wikipedia: Samuel Peter</t>
  </si>
  <si>
    <t xml:space="preserve">SPT-0429</t>
  </si>
  <si>
    <t xml:space="preserve">As of October 2026, how many FIBA Women's AfroBasket titles have Nigeria's D'Tigress won?</t>
  </si>
  <si>
    <t xml:space="preserve">7</t>
  </si>
  <si>
    <t xml:space="preserve">Their 2025 win over Mali in Abidjan made them the first team to win five Women's AfroBasket titles in a row.</t>
  </si>
  <si>
    <t xml:space="preserve">https://www.fiba.basketball/en/events/fiba-womens-afrobasket-qualifiers-2027/all-time-medalists-</t>
  </si>
  <si>
    <t xml:space="preserve">FIBA: Women's AfroBasket all-time medalists</t>
  </si>
  <si>
    <t xml:space="preserve">SPT-0430</t>
  </si>
  <si>
    <t xml:space="preserve">In what year did Nigeria's men's basketball team, D'Tigers, win their first AfroBasket title?</t>
  </si>
  <si>
    <t xml:space="preserve">2015</t>
  </si>
  <si>
    <t xml:space="preserve">They beat Angola 74–65 in the final in Radès, Tunisia, and Chamberlain Oguchi was named MVP.</t>
  </si>
  <si>
    <t xml:space="preserve">https://www.infobae.com/aroundtherings/federations/2021/07/12/nigeria-beat-angola-in-afrobasket-2015-final-to-win-first-ever-continental-title</t>
  </si>
  <si>
    <t xml:space="preserve">Around the Rings: Nigeria beat Angola in AfroBasket 2015 final</t>
  </si>
  <si>
    <t xml:space="preserve">SPT-0431</t>
  </si>
  <si>
    <t xml:space="preserve">Lagos-born Nduka Odizor reached the fourth round of which Grand Slam tennis event in 1983?</t>
  </si>
  <si>
    <t xml:space="preserve">Wimbledon</t>
  </si>
  <si>
    <t xml:space="preserve">US Open</t>
  </si>
  <si>
    <t xml:space="preserve">French Open</t>
  </si>
  <si>
    <t xml:space="preserve">Australian Open</t>
  </si>
  <si>
    <t xml:space="preserve">He peaked at world No. 52 in singles in 1984 and won seven ATP doubles titles.</t>
  </si>
  <si>
    <t xml:space="preserve">https://www.olympedia.org/athletes/1023</t>
  </si>
  <si>
    <t xml:space="preserve">Olympedia: Nduka Odizor</t>
  </si>
  <si>
    <t xml:space="preserve">SPT-0432</t>
  </si>
  <si>
    <t xml:space="preserve">Who won Team Nigeria's first gold medal at the Birmingham 2022 Commonwealth Games?</t>
  </si>
  <si>
    <t xml:space="preserve">Adijat Olarinoye</t>
  </si>
  <si>
    <t xml:space="preserve">Tobi Amusan</t>
  </si>
  <si>
    <t xml:space="preserve">Ese Brume</t>
  </si>
  <si>
    <t xml:space="preserve">Lifting in the 55 kg class, she totalled a Games-record 203 kg: 92 kg in the snatch and 111 kg in the clean and jerk.</t>
  </si>
  <si>
    <t xml:space="preserve">https://thisdaylive.com/index.php/2022/07/30/birmingham-2022-olarinoye-wins-nigerias-first-gold-medal</t>
  </si>
  <si>
    <t xml:space="preserve">ThisDay: Olarinoye wins Nigeria's first gold medal</t>
  </si>
  <si>
    <t xml:space="preserve">Also a Commonwealth Games result; two wrong options are athletes rather than weightlifters, so consider swapping them.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</si>
</sst>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8751"/>
        <bgColor rgb="FF00808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875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751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sportsvillagesquare.com/?p=79212" TargetMode="External"/><Relationship Id="rId2" Type="http://schemas.openxmlformats.org/officeDocument/2006/relationships/hyperlink" Target="https://archivi.ng/the-archivist/stories/issue-4/green-eagles-of-nigeria-at-afcon-1980" TargetMode="External"/><Relationship Id="rId3" Type="http://schemas.openxmlformats.org/officeDocument/2006/relationships/hyperlink" Target="https://www.aljazeera.com/sports/2013/2/11/nigeria-triumphs-at-africa-cup-of-nations" TargetMode="External"/><Relationship Id="rId4" Type="http://schemas.openxmlformats.org/officeDocument/2006/relationships/hyperlink" Target="https://inside.fifa.com/en/news/worldcupathome-nigeria-italy-1994-baggio-comeback" TargetMode="External"/><Relationship Id="rId5" Type="http://schemas.openxmlformats.org/officeDocument/2006/relationships/hyperlink" Target="https://en.wikipedia.org/wiki/Jay-Jay_Okocha" TargetMode="External"/><Relationship Id="rId6" Type="http://schemas.openxmlformats.org/officeDocument/2006/relationships/hyperlink" Target="https://www.goal.com/en-us/news/nigerias-first-ever-world-cup-goal-and-the-five-most/blt4192f0869e6dcbd2" TargetMode="External"/><Relationship Id="rId7" Type="http://schemas.openxmlformats.org/officeDocument/2006/relationships/hyperlink" Target="https://www.legit.ng/sports/football/1690304-arsenal-legend-kanu-nwankwo-papilo-sends-strong-message-super-eagles-uganda-clash/" TargetMode="External"/><Relationship Id="rId8" Type="http://schemas.openxmlformats.org/officeDocument/2006/relationships/hyperlink" Target="https://www.aljazeera.com/sports/2013/2/11/nigeria-triumphs-at-africa-cup-of-nations" TargetMode="External"/><Relationship Id="rId9" Type="http://schemas.openxmlformats.org/officeDocument/2006/relationships/hyperlink" Target="https://sportsvillagesquare.com/2020/05/02/ex-super-eagles-manager-clemens-westerhof-clocks-80" TargetMode="External"/><Relationship Id="rId10" Type="http://schemas.openxmlformats.org/officeDocument/2006/relationships/hyperlink" Target="https://www.thescore.com/news/1552695" TargetMode="External"/><Relationship Id="rId11" Type="http://schemas.openxmlformats.org/officeDocument/2006/relationships/hyperlink" Target="https://www.aljazeera.com/sports/2018/1/23/stephen-keshi-why-google-honours-him-today" TargetMode="External"/><Relationship Id="rId12" Type="http://schemas.openxmlformats.org/officeDocument/2006/relationships/hyperlink" Target="https://www.aljazeera.com/sports/2013/2/11/nigeria-triumphs-at-africa-cup-of-nations" TargetMode="External"/><Relationship Id="rId13" Type="http://schemas.openxmlformats.org/officeDocument/2006/relationships/hyperlink" Target="https://www.thisdaylive.com/2022/10/01/emmanuel-amuneke-mission-to-zambia/" TargetMode="External"/><Relationship Id="rId14" Type="http://schemas.openxmlformats.org/officeDocument/2006/relationships/hyperlink" Target="https://www.planetfootball.com/nostalgia/jay-jay-okocha-nigeria-1998-world-cup-france-spain-skilla-assists" TargetMode="External"/><Relationship Id="rId15" Type="http://schemas.openxmlformats.org/officeDocument/2006/relationships/hyperlink" Target="https://inside.fifa.com/en/news/worldcupathome-nigeria-italy-1994-baggio-comeback" TargetMode="External"/><Relationship Id="rId16" Type="http://schemas.openxmlformats.org/officeDocument/2006/relationships/hyperlink" Target="https://www.cbsnews.com/amp/news/world-cup-2014-france-wins-a-deceptively-close-2-0-game-against-nigeria" TargetMode="External"/><Relationship Id="rId17" Type="http://schemas.openxmlformats.org/officeDocument/2006/relationships/hyperlink" Target="https://en.wikipedia.org/wiki/Jay-Jay_Okocha" TargetMode="External"/><Relationship Id="rId18" Type="http://schemas.openxmlformats.org/officeDocument/2006/relationships/hyperlink" Target="https://www.cafonline.com/caf-africa-cup-of-nations/news/totalenergies-caf-afcon-cote-d-ivoire-2023-awards/" TargetMode="External"/><Relationship Id="rId19" Type="http://schemas.openxmlformats.org/officeDocument/2006/relationships/hyperlink" Target="https://www.aljazeera.com/sports/2025/11/16/dr-congo-shock-nigeria-on-penalties-to-win-african-world-cup-playoffs" TargetMode="External"/><Relationship Id="rId20" Type="http://schemas.openxmlformats.org/officeDocument/2006/relationships/hyperlink" Target="https://www.arise.tv/nff-salutes-ahmed-musas-legacy-as-nigerias-most-capped-player-retires/" TargetMode="External"/><Relationship Id="rId21" Type="http://schemas.openxmlformats.org/officeDocument/2006/relationships/hyperlink" Target="https://archivi.ng/the-archivist/stories/issue-4/green-eagles-of-nigeria-at-afcon-1980" TargetMode="External"/><Relationship Id="rId22" Type="http://schemas.openxmlformats.org/officeDocument/2006/relationships/hyperlink" Target="https://nannews.ng/nigeria-lost-a-true-icon-in-chukwu-nsc-d-g/" TargetMode="External"/><Relationship Id="rId23" Type="http://schemas.openxmlformats.org/officeDocument/2006/relationships/hyperlink" Target="https://www.foxnews.com/sports/joseph-yobo-announces-international-retirement-after-scoring-own-goal-in-100th-cap-for-nigeria.amp" TargetMode="External"/><Relationship Id="rId24" Type="http://schemas.openxmlformats.org/officeDocument/2006/relationships/hyperlink" Target="https://www.beinsports.com/en-mena/articles-video/2018-fifa-world-cup-nigeria-beat-iceland-2-0-" TargetMode="External"/><Relationship Id="rId25" Type="http://schemas.openxmlformats.org/officeDocument/2006/relationships/hyperlink" Target="https://thewillnews.com/nigeria-register-biggest-ever-win-in-10-nil-thrashing-of-sao-tome/" TargetMode="External"/><Relationship Id="rId26" Type="http://schemas.openxmlformats.org/officeDocument/2006/relationships/hyperlink" Target="https://businessday.ng/news/article/rashidi-yekini-10-things-to-know-about-the-iconic-striker/" TargetMode="External"/><Relationship Id="rId27" Type="http://schemas.openxmlformats.org/officeDocument/2006/relationships/hyperlink" Target="https://www.planetfootball.com/nostalgia/jay-jay-okocha-nigeria-1998-world-cup-france-spain-skilla-assists" TargetMode="External"/><Relationship Id="rId28" Type="http://schemas.openxmlformats.org/officeDocument/2006/relationships/hyperlink" Target="https://sportsvillagesquare.com/2019/08/15/nigeria-burkina-faso-african-games-match-marks-70-years-since-uk-tourists-ventured-out/" TargetMode="External"/><Relationship Id="rId29" Type="http://schemas.openxmlformats.org/officeDocument/2006/relationships/hyperlink" Target="https://soccernet.ng/2016/02/julius-aghahowa-5-things-super-eagles.html" TargetMode="External"/><Relationship Id="rId30" Type="http://schemas.openxmlformats.org/officeDocument/2006/relationships/hyperlink" Target="https://soccernet.ng/2026/09/super-eagles-morocco-fifa-guinea-bissau.html" TargetMode="External"/><Relationship Id="rId31" Type="http://schemas.openxmlformats.org/officeDocument/2006/relationships/hyperlink" Target="https://www.asmonaco.com/en/news/victor-ikpeba-certain-beat-my-record" TargetMode="External"/><Relationship Id="rId32" Type="http://schemas.openxmlformats.org/officeDocument/2006/relationships/hyperlink" Target="https://archivi.ng/the-archivist/stories/issue-4/green-eagles-of-nigeria-at-afcon-1980" TargetMode="External"/><Relationship Id="rId33" Type="http://schemas.openxmlformats.org/officeDocument/2006/relationships/hyperlink" Target="https://www.nba.com/news/history-nba-legend-hakeem-olajuwon" TargetMode="External"/><Relationship Id="rId34" Type="http://schemas.openxmlformats.org/officeDocument/2006/relationships/hyperlink" Target="https://www.enca.com/lifestyle/eid-festivities-north-nigeria-make-unesco-heritage-list" TargetMode="External"/><Relationship Id="rId35" Type="http://schemas.openxmlformats.org/officeDocument/2006/relationships/hyperlink" Target="https://www.aljazeera.com/gallery/2026/2/15/nigerias-argungu-fishing-contest-marks-return-after-years-of-pause" TargetMode="External"/><Relationship Id="rId36" Type="http://schemas.openxmlformats.org/officeDocument/2006/relationships/hyperlink" Target="https://www.africanews.com/amp/2021/04/26/african-born-champions-take-over-ufc-by-storm/" TargetMode="External"/><Relationship Id="rId37" Type="http://schemas.openxmlformats.org/officeDocument/2006/relationships/hyperlink" Target="https://en.wikipedia.org/wiki/World_Scrabble_Championship_2015" TargetMode="External"/><Relationship Id="rId38" Type="http://schemas.openxmlformats.org/officeDocument/2006/relationships/hyperlink" Target="https://www.ufc.com/athlete/israel-adesanya" TargetMode="External"/><Relationship Id="rId39" Type="http://schemas.openxmlformats.org/officeDocument/2006/relationships/hyperlink" Target="https://www.ufc.com/athlete/kamaru-usman" TargetMode="External"/><Relationship Id="rId40" Type="http://schemas.openxmlformats.org/officeDocument/2006/relationships/hyperlink" Target="https://andscape.com/features/bucks-giannis-antetokounmpo-greek-freak-wants-to-go-back-to-his-nigerian-roots" TargetMode="External"/><Relationship Id="rId41" Type="http://schemas.openxmlformats.org/officeDocument/2006/relationships/hyperlink" Target="https://www.icirnigeria.org/tunde-onakoya-sets-new-gwr-with-64-hour-chess-marathon-in-new-york/" TargetMode="External"/><Relationship Id="rId42" Type="http://schemas.openxmlformats.org/officeDocument/2006/relationships/hyperlink" Target="https://www.boston.com/sports/olympics/2018/02/20/nigeria-savors-its-olympic-bobsled-debut-moment/" TargetMode="External"/><Relationship Id="rId43" Type="http://schemas.openxmlformats.org/officeDocument/2006/relationships/hyperlink" Target="https://en.wikipedia.org/wiki/Chika_Chukwumerije" TargetMode="External"/><Relationship Id="rId44" Type="http://schemas.openxmlformats.org/officeDocument/2006/relationships/hyperlink" Target="https://en.wikipedia.org/wiki/Dick_Tiger" TargetMode="External"/><Relationship Id="rId45" Type="http://schemas.openxmlformats.org/officeDocument/2006/relationships/hyperlink" Target="https://en.wikipedia.org/wiki/Hogan_Bassey" TargetMode="External"/><Relationship Id="rId46" Type="http://schemas.openxmlformats.org/officeDocument/2006/relationships/hyperlink" Target="https://en.wikipedia.org/wiki/Anthony_Joshua" TargetMode="External"/><Relationship Id="rId47" Type="http://schemas.openxmlformats.org/officeDocument/2006/relationships/hyperlink" Target="https://en.wikipedia.org/wiki/Masai_Ujiri" TargetMode="External"/><Relationship Id="rId48" Type="http://schemas.openxmlformats.org/officeDocument/2006/relationships/hyperlink" Target="https://en.wikipedia.org/wiki/2021_BAL_season" TargetMode="External"/><Relationship Id="rId49" Type="http://schemas.openxmlformats.org/officeDocument/2006/relationships/hyperlink" Target="https://en.wikipedia.org/wiki/Dambe" TargetMode="External"/><Relationship Id="rId50" Type="http://schemas.openxmlformats.org/officeDocument/2006/relationships/hyperlink" Target="https://en.wikipedia.org/wiki/Lutte_Traditionnelle" TargetMode="External"/><Relationship Id="rId51" Type="http://schemas.openxmlformats.org/officeDocument/2006/relationships/hyperlink" Target="https://en.wikipedia.org/wiki/Blessing_Oborududu" TargetMode="External"/><Relationship Id="rId52" Type="http://schemas.openxmlformats.org/officeDocument/2006/relationships/hyperlink" Target="https://en.wikipedia.org/wiki/Daniel_Igali" TargetMode="External"/><Relationship Id="rId53" Type="http://schemas.openxmlformats.org/officeDocument/2006/relationships/hyperlink" Target="https://www.guinnessworldrecords.com/world-records/longest-chess-marathon" TargetMode="External"/><Relationship Id="rId54" Type="http://schemas.openxmlformats.org/officeDocument/2006/relationships/hyperlink" Target="https://www.liverpoolfootprint.co.uk/boxers" TargetMode="External"/><Relationship Id="rId55" Type="http://schemas.openxmlformats.org/officeDocument/2006/relationships/hyperlink" Target="https://en.wikipedia.org/wiki/2012_FIBA_World_Olympic_Qualifying_Tournament_for_Men" TargetMode="External"/><Relationship Id="rId56" Type="http://schemas.openxmlformats.org/officeDocument/2006/relationships/hyperlink" Target="https://en.wikipedia.org/wiki/Quadri_Aruna" TargetMode="External"/><Relationship Id="rId57" Type="http://schemas.openxmlformats.org/officeDocument/2006/relationships/hyperlink" Target="https://www.olympedia.org/athletes/1014" TargetMode="External"/><Relationship Id="rId58" Type="http://schemas.openxmlformats.org/officeDocument/2006/relationships/hyperlink" Target="https://en.wikipedia.org/wiki/Odunayo_Adekuoroye" TargetMode="External"/><Relationship Id="rId59" Type="http://schemas.openxmlformats.org/officeDocument/2006/relationships/hyperlink" Target="https://newtelegraphng.com/?p=444625" TargetMode="External"/><Relationship Id="rId60" Type="http://schemas.openxmlformats.org/officeDocument/2006/relationships/hyperlink" Target="https://en.wikipedia.org/wiki/Samuel_Peter" TargetMode="External"/><Relationship Id="rId61" Type="http://schemas.openxmlformats.org/officeDocument/2006/relationships/hyperlink" Target="https://www.fiba.basketball/en/events/fiba-womens-afrobasket-qualifiers-2027/all-time-medalists-" TargetMode="External"/><Relationship Id="rId62" Type="http://schemas.openxmlformats.org/officeDocument/2006/relationships/hyperlink" Target="https://www.infobae.com/aroundtherings/federations/2021/07/12/nigeria-beat-angola-in-afrobasket-2015-final-to-win-first-ever-continental-title" TargetMode="External"/><Relationship Id="rId63" Type="http://schemas.openxmlformats.org/officeDocument/2006/relationships/hyperlink" Target="https://www.olympedia.org/athletes/1023" TargetMode="External"/><Relationship Id="rId64" Type="http://schemas.openxmlformats.org/officeDocument/2006/relationships/hyperlink" Target="https://thisdaylive.com/index.php/2022/07/30/birmingham-2022-olarinoye-wins-nigerias-first-gold-medal" TargetMode="External"/><Relationship Id="rId65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2" t="s">
        <v>10</v>
      </c>
      <c r="B5" s="2" t="n">
        <f aca="false">COUNTA(Slang!A:A)-1</f>
        <v>0</v>
      </c>
      <c r="C5" s="2" t="n">
        <f aca="false">COUNTIF(Slang!T:T,"to check")</f>
        <v>0</v>
      </c>
      <c r="D5" s="2" t="n">
        <f aca="false">COUNTIF(Slang!T:T,"approved")</f>
        <v>0</v>
      </c>
      <c r="E5" s="2" t="n">
        <f aca="false">COUNTIF(Slang!T:T,"fix needed")</f>
        <v>0</v>
      </c>
      <c r="F5" s="2" t="n">
        <f aca="false">COUNTIF(Slang!T:T,"rejected")</f>
        <v>0</v>
      </c>
      <c r="G5" s="4" t="n">
        <v>600</v>
      </c>
      <c r="H5" s="5" t="n">
        <f aca="false">IF(G5=0,0,D5/G5)</f>
        <v>0</v>
      </c>
    </row>
    <row r="6" customFormat="false" ht="15" hidden="false" customHeight="false" outlineLevel="0" collapsed="false">
      <c r="A6" s="2" t="s">
        <v>11</v>
      </c>
      <c r="B6" s="2" t="n">
        <f aca="false">COUNTA(Nollywood!A:A)-1</f>
        <v>0</v>
      </c>
      <c r="C6" s="2" t="n">
        <f aca="false">COUNTIF(Nollywood!T:T,"to check")</f>
        <v>0</v>
      </c>
      <c r="D6" s="2" t="n">
        <f aca="false">COUNTIF(Nollywood!T:T,"approved")</f>
        <v>0</v>
      </c>
      <c r="E6" s="2" t="n">
        <f aca="false">COUNTIF(Nollywood!T:T,"fix needed")</f>
        <v>0</v>
      </c>
      <c r="F6" s="2" t="n">
        <f aca="false">COUNTIF(Nollywood!T:T,"rejected")</f>
        <v>0</v>
      </c>
      <c r="G6" s="4" t="n">
        <v>600</v>
      </c>
      <c r="H6" s="5" t="n">
        <f aca="false">IF(G6=0,0,D6/G6)</f>
        <v>0</v>
      </c>
    </row>
    <row r="7" customFormat="false" ht="15" hidden="false" customHeight="false" outlineLevel="0" collapsed="false">
      <c r="A7" s="2" t="s">
        <v>12</v>
      </c>
      <c r="B7" s="2" t="n">
        <f aca="false">COUNTA(Music!A:A)-1</f>
        <v>0</v>
      </c>
      <c r="C7" s="2" t="n">
        <f aca="false">COUNTIF(Music!T:T,"to check")</f>
        <v>0</v>
      </c>
      <c r="D7" s="2" t="n">
        <f aca="false">COUNTIF(Music!T:T,"approved")</f>
        <v>0</v>
      </c>
      <c r="E7" s="2" t="n">
        <f aca="false">COUNTIF(Music!T:T,"fix needed")</f>
        <v>0</v>
      </c>
      <c r="F7" s="2" t="n">
        <f aca="false">COUNTIF(Music!T:T,"rejected")</f>
        <v>0</v>
      </c>
      <c r="G7" s="4" t="n">
        <v>600</v>
      </c>
      <c r="H7" s="5" t="n">
        <f aca="false">IF(G7=0,0,D7/G7)</f>
        <v>0</v>
      </c>
    </row>
    <row r="8" customFormat="false" ht="15" hidden="false" customHeight="false" outlineLevel="0" collapsed="false">
      <c r="A8" s="2" t="s">
        <v>13</v>
      </c>
      <c r="B8" s="2" t="n">
        <f aca="false">COUNTA(Food!A:A)-1</f>
        <v>0</v>
      </c>
      <c r="C8" s="2" t="n">
        <f aca="false">COUNTIF(Food!T:T,"to check")</f>
        <v>0</v>
      </c>
      <c r="D8" s="2" t="n">
        <f aca="false">COUNTIF(Food!T:T,"approved")</f>
        <v>0</v>
      </c>
      <c r="E8" s="2" t="n">
        <f aca="false">COUNTIF(Food!T:T,"fix needed")</f>
        <v>0</v>
      </c>
      <c r="F8" s="2" t="n">
        <f aca="false">COUNTIF(Food!T:T,"rejected")</f>
        <v>0</v>
      </c>
      <c r="G8" s="4" t="n">
        <v>600</v>
      </c>
      <c r="H8" s="5" t="n">
        <f aca="false">IF(G8=0,0,D8/G8)</f>
        <v>0</v>
      </c>
    </row>
    <row r="9" customFormat="false" ht="15" hidden="false" customHeight="false" outlineLevel="0" collapsed="false">
      <c r="A9" s="2" t="s">
        <v>14</v>
      </c>
      <c r="B9" s="2" t="n">
        <f aca="false">COUNTA(Mixed!A:A)-1</f>
        <v>0</v>
      </c>
      <c r="C9" s="2" t="n">
        <f aca="false">COUNTIF(Mixed!T:T,"to check")</f>
        <v>0</v>
      </c>
      <c r="D9" s="2" t="n">
        <f aca="false">COUNTIF(Mixed!T:T,"approved")</f>
        <v>0</v>
      </c>
      <c r="E9" s="2" t="n">
        <f aca="false">COUNTIF(Mixed!T:T,"fix needed")</f>
        <v>0</v>
      </c>
      <c r="F9" s="2" t="n">
        <f aca="false">COUNTIF(Mixed!T:T,"rejected")</f>
        <v>0</v>
      </c>
      <c r="G9" s="4" t="n">
        <v>600</v>
      </c>
      <c r="H9" s="5" t="n">
        <f aca="false">IF(G9=0,0,D9/G9)</f>
        <v>0</v>
      </c>
    </row>
    <row r="10" customFormat="false" ht="15" hidden="false" customHeight="false" outlineLevel="0" collapsed="false">
      <c r="A10" s="2" t="s">
        <v>15</v>
      </c>
      <c r="B10" s="2" t="n">
        <f aca="false">COUNTA(Sport!A:A)-1</f>
        <v>64</v>
      </c>
      <c r="C10" s="2" t="n">
        <f aca="false">COUNTIF(Sport!T:T,"to check")</f>
        <v>64</v>
      </c>
      <c r="D10" s="2" t="n">
        <f aca="false">COUNTIF(Sport!T:T,"approved")</f>
        <v>0</v>
      </c>
      <c r="E10" s="2" t="n">
        <f aca="false">COUNTIF(Sport!T:T,"fix needed")</f>
        <v>0</v>
      </c>
      <c r="F10" s="2" t="n">
        <f aca="false">COUNTIF(Sport!T:T,"rejected")</f>
        <v>0</v>
      </c>
      <c r="G10" s="4" t="n">
        <v>600</v>
      </c>
      <c r="H10" s="5" t="n">
        <f aca="false">IF(G10=0,0,D10/G10)</f>
        <v>0</v>
      </c>
    </row>
    <row r="11" customFormat="false" ht="15" hidden="false" customHeight="false" outlineLevel="0" collapsed="false">
      <c r="A11" s="6" t="s">
        <v>16</v>
      </c>
      <c r="B11" s="6" t="n">
        <f aca="false">SUM(B5:B10)</f>
        <v>64</v>
      </c>
      <c r="C11" s="6" t="n">
        <f aca="false">SUM(C5:C10)</f>
        <v>64</v>
      </c>
      <c r="D11" s="6" t="n">
        <f aca="false">SUM(D5:D10)</f>
        <v>0</v>
      </c>
      <c r="E11" s="6" t="n">
        <f aca="false">SUM(E5:E10)</f>
        <v>0</v>
      </c>
      <c r="F11" s="6" t="n">
        <f aca="false">SUM(F5:F10)</f>
        <v>0</v>
      </c>
      <c r="G11" s="6" t="n">
        <f aca="false">SUM(G5:G10)</f>
        <v>3600</v>
      </c>
      <c r="H11" s="7" t="n">
        <f aca="false">IF(G11=0,0,D11/G11)</f>
        <v>0</v>
      </c>
    </row>
    <row r="13" customFormat="false" ht="15" hidden="false" customHeight="false" outlineLevel="0" collapsed="false">
      <c r="A13" s="3" t="s">
        <v>17</v>
      </c>
      <c r="B13" s="3" t="s">
        <v>10</v>
      </c>
      <c r="C13" s="3" t="s">
        <v>11</v>
      </c>
      <c r="D13" s="3" t="s">
        <v>12</v>
      </c>
      <c r="E13" s="3" t="s">
        <v>13</v>
      </c>
      <c r="F13" s="3" t="s">
        <v>14</v>
      </c>
      <c r="G13" s="3" t="s">
        <v>15</v>
      </c>
      <c r="H13" s="3" t="s">
        <v>18</v>
      </c>
    </row>
    <row r="14" customFormat="false" ht="15" hidden="false" customHeight="false" outlineLevel="0" collapsed="false">
      <c r="A14" s="2" t="s">
        <v>19</v>
      </c>
      <c r="B14" s="2" t="n">
        <f aca="false">COUNTIF(Slang!E:E,1)</f>
        <v>0</v>
      </c>
      <c r="C14" s="2" t="n">
        <f aca="false">COUNTIF(Nollywood!E:E,1)</f>
        <v>0</v>
      </c>
      <c r="D14" s="2" t="n">
        <f aca="false">COUNTIF(Music!E:E,1)</f>
        <v>0</v>
      </c>
      <c r="E14" s="2" t="n">
        <f aca="false">COUNTIF(Food!E:E,1)</f>
        <v>0</v>
      </c>
      <c r="F14" s="2" t="n">
        <f aca="false">COUNTIF(Mixed!E:E,1)</f>
        <v>0</v>
      </c>
      <c r="G14" s="2" t="n">
        <f aca="false">COUNTIF(Sport!E:E,1)</f>
        <v>10</v>
      </c>
      <c r="H14" s="8" t="n">
        <v>0.15</v>
      </c>
    </row>
    <row r="15" customFormat="false" ht="15" hidden="false" customHeight="false" outlineLevel="0" collapsed="false">
      <c r="A15" s="2" t="s">
        <v>20</v>
      </c>
      <c r="B15" s="2" t="n">
        <f aca="false">COUNTIF(Slang!E:E,2)</f>
        <v>0</v>
      </c>
      <c r="C15" s="2" t="n">
        <f aca="false">COUNTIF(Nollywood!E:E,2)</f>
        <v>0</v>
      </c>
      <c r="D15" s="2" t="n">
        <f aca="false">COUNTIF(Music!E:E,2)</f>
        <v>0</v>
      </c>
      <c r="E15" s="2" t="n">
        <f aca="false">COUNTIF(Food!E:E,2)</f>
        <v>0</v>
      </c>
      <c r="F15" s="2" t="n">
        <f aca="false">COUNTIF(Mixed!E:E,2)</f>
        <v>0</v>
      </c>
      <c r="G15" s="2" t="n">
        <f aca="false">COUNTIF(Sport!E:E,2)</f>
        <v>12</v>
      </c>
      <c r="H15" s="8" t="n">
        <v>0.2</v>
      </c>
    </row>
    <row r="16" customFormat="false" ht="15" hidden="false" customHeight="false" outlineLevel="0" collapsed="false">
      <c r="A16" s="2" t="s">
        <v>21</v>
      </c>
      <c r="B16" s="2" t="n">
        <f aca="false">COUNTIF(Slang!E:E,3)</f>
        <v>0</v>
      </c>
      <c r="C16" s="2" t="n">
        <f aca="false">COUNTIF(Nollywood!E:E,3)</f>
        <v>0</v>
      </c>
      <c r="D16" s="2" t="n">
        <f aca="false">COUNTIF(Music!E:E,3)</f>
        <v>0</v>
      </c>
      <c r="E16" s="2" t="n">
        <f aca="false">COUNTIF(Food!E:E,3)</f>
        <v>0</v>
      </c>
      <c r="F16" s="2" t="n">
        <f aca="false">COUNTIF(Mixed!E:E,3)</f>
        <v>0</v>
      </c>
      <c r="G16" s="2" t="n">
        <f aca="false">COUNTIF(Sport!E:E,3)</f>
        <v>20</v>
      </c>
      <c r="H16" s="8" t="n">
        <v>0.3</v>
      </c>
    </row>
    <row r="17" customFormat="false" ht="15" hidden="false" customHeight="false" outlineLevel="0" collapsed="false">
      <c r="A17" s="2" t="s">
        <v>22</v>
      </c>
      <c r="B17" s="2" t="n">
        <f aca="false">COUNTIF(Slang!E:E,4)</f>
        <v>0</v>
      </c>
      <c r="C17" s="2" t="n">
        <f aca="false">COUNTIF(Nollywood!E:E,4)</f>
        <v>0</v>
      </c>
      <c r="D17" s="2" t="n">
        <f aca="false">COUNTIF(Music!E:E,4)</f>
        <v>0</v>
      </c>
      <c r="E17" s="2" t="n">
        <f aca="false">COUNTIF(Food!E:E,4)</f>
        <v>0</v>
      </c>
      <c r="F17" s="2" t="n">
        <f aca="false">COUNTIF(Mixed!E:E,4)</f>
        <v>0</v>
      </c>
      <c r="G17" s="2" t="n">
        <f aca="false">COUNTIF(Sport!E:E,4)</f>
        <v>12</v>
      </c>
      <c r="H17" s="8" t="n">
        <v>0.2</v>
      </c>
    </row>
    <row r="18" customFormat="false" ht="15" hidden="false" customHeight="false" outlineLevel="0" collapsed="false">
      <c r="A18" s="2" t="s">
        <v>23</v>
      </c>
      <c r="B18" s="2" t="n">
        <f aca="false">COUNTIF(Slang!E:E,5)</f>
        <v>0</v>
      </c>
      <c r="C18" s="2" t="n">
        <f aca="false">COUNTIF(Nollywood!E:E,5)</f>
        <v>0</v>
      </c>
      <c r="D18" s="2" t="n">
        <f aca="false">COUNTIF(Music!E:E,5)</f>
        <v>0</v>
      </c>
      <c r="E18" s="2" t="n">
        <f aca="false">COUNTIF(Food!E:E,5)</f>
        <v>0</v>
      </c>
      <c r="F18" s="2" t="n">
        <f aca="false">COUNTIF(Mixed!E:E,5)</f>
        <v>0</v>
      </c>
      <c r="G18" s="2" t="n">
        <f aca="false">COUNTIF(Sport!E:E,5)</f>
        <v>10</v>
      </c>
      <c r="H18" s="8" t="n">
        <v>0.15</v>
      </c>
    </row>
    <row r="20" customFormat="false" ht="15" hidden="false" customHeight="false" outlineLevel="0" collapsed="false">
      <c r="A20" s="6" t="s">
        <v>24</v>
      </c>
    </row>
    <row r="21" customFormat="false" ht="15" hidden="false" customHeight="false" outlineLevel="0" collapsed="false">
      <c r="A21" s="2" t="s">
        <v>25</v>
      </c>
    </row>
    <row r="22" customFormat="false" ht="15" hidden="false" customHeight="false" outlineLevel="0" collapsed="false">
      <c r="A22" s="2" t="s">
        <v>26</v>
      </c>
    </row>
    <row r="23" customFormat="false" ht="15" hidden="false" customHeight="false" outlineLevel="0" collapsed="false">
      <c r="A23" s="2" t="s">
        <v>27</v>
      </c>
    </row>
    <row r="24" customFormat="false" ht="15" hidden="false" customHeight="false" outlineLevel="0" collapsed="false">
      <c r="A24" s="2" t="s">
        <v>28</v>
      </c>
    </row>
    <row r="25" customFormat="false" ht="15" hidden="false" customHeight="false" outlineLevel="0" collapsed="false">
      <c r="A25" s="2" t="s">
        <v>29</v>
      </c>
    </row>
    <row r="26" customFormat="false" ht="15" hidden="false" customHeight="false" outlineLevel="0" collapsed="false">
      <c r="A26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  <row r="2" customFormat="false" ht="35.05" hidden="false" customHeight="false" outlineLevel="0" collapsed="false">
      <c r="A2" s="10" t="s">
        <v>53</v>
      </c>
      <c r="B2" s="10" t="s">
        <v>54</v>
      </c>
      <c r="C2" s="10" t="s">
        <v>55</v>
      </c>
      <c r="D2" s="10" t="s">
        <v>56</v>
      </c>
      <c r="E2" s="10" t="n">
        <v>1</v>
      </c>
      <c r="F2" s="11" t="s">
        <v>57</v>
      </c>
      <c r="G2" s="10" t="s">
        <v>58</v>
      </c>
      <c r="H2" s="10" t="s">
        <v>59</v>
      </c>
      <c r="I2" s="10" t="s">
        <v>60</v>
      </c>
      <c r="J2" s="10" t="s">
        <v>61</v>
      </c>
      <c r="K2" s="10" t="s">
        <v>62</v>
      </c>
      <c r="L2" s="11" t="s">
        <v>63</v>
      </c>
      <c r="M2" s="10" t="s">
        <v>64</v>
      </c>
      <c r="N2" s="10"/>
      <c r="O2" s="10" t="s">
        <v>65</v>
      </c>
      <c r="P2" s="10" t="s">
        <v>66</v>
      </c>
      <c r="Q2" s="12" t="s">
        <v>67</v>
      </c>
      <c r="R2" s="10" t="s">
        <v>68</v>
      </c>
      <c r="S2" s="10" t="s">
        <v>69</v>
      </c>
      <c r="T2" s="13" t="s">
        <v>70</v>
      </c>
      <c r="U2" s="13"/>
      <c r="V2" s="14" t="s">
        <v>71</v>
      </c>
    </row>
    <row r="3" customFormat="false" ht="23.85" hidden="false" customHeight="false" outlineLevel="0" collapsed="false">
      <c r="A3" s="10" t="s">
        <v>72</v>
      </c>
      <c r="B3" s="10" t="s">
        <v>54</v>
      </c>
      <c r="C3" s="10" t="s">
        <v>55</v>
      </c>
      <c r="D3" s="10" t="s">
        <v>56</v>
      </c>
      <c r="E3" s="10" t="n">
        <v>1</v>
      </c>
      <c r="F3" s="11" t="s">
        <v>73</v>
      </c>
      <c r="G3" s="10" t="s">
        <v>74</v>
      </c>
      <c r="H3" s="10" t="s">
        <v>75</v>
      </c>
      <c r="I3" s="10" t="s">
        <v>76</v>
      </c>
      <c r="J3" s="10" t="s">
        <v>77</v>
      </c>
      <c r="K3" s="10" t="s">
        <v>62</v>
      </c>
      <c r="L3" s="11" t="s">
        <v>78</v>
      </c>
      <c r="M3" s="10" t="s">
        <v>64</v>
      </c>
      <c r="N3" s="10"/>
      <c r="O3" s="10" t="s">
        <v>65</v>
      </c>
      <c r="P3" s="10" t="s">
        <v>66</v>
      </c>
      <c r="Q3" s="12" t="s">
        <v>79</v>
      </c>
      <c r="R3" s="10" t="s">
        <v>80</v>
      </c>
      <c r="S3" s="10" t="s">
        <v>69</v>
      </c>
      <c r="T3" s="13" t="s">
        <v>70</v>
      </c>
      <c r="U3" s="13"/>
      <c r="V3" s="14"/>
    </row>
    <row r="4" customFormat="false" ht="35.05" hidden="false" customHeight="false" outlineLevel="0" collapsed="false">
      <c r="A4" s="10" t="s">
        <v>81</v>
      </c>
      <c r="B4" s="10" t="s">
        <v>54</v>
      </c>
      <c r="C4" s="10" t="s">
        <v>55</v>
      </c>
      <c r="D4" s="10" t="s">
        <v>56</v>
      </c>
      <c r="E4" s="10" t="n">
        <v>1</v>
      </c>
      <c r="F4" s="11" t="s">
        <v>82</v>
      </c>
      <c r="G4" s="10" t="s">
        <v>83</v>
      </c>
      <c r="H4" s="10" t="s">
        <v>84</v>
      </c>
      <c r="I4" s="10" t="s">
        <v>85</v>
      </c>
      <c r="J4" s="10" t="s">
        <v>86</v>
      </c>
      <c r="K4" s="10" t="s">
        <v>62</v>
      </c>
      <c r="L4" s="11" t="s">
        <v>87</v>
      </c>
      <c r="M4" s="10" t="s">
        <v>64</v>
      </c>
      <c r="N4" s="10"/>
      <c r="O4" s="10" t="s">
        <v>65</v>
      </c>
      <c r="P4" s="10" t="s">
        <v>66</v>
      </c>
      <c r="Q4" s="12" t="s">
        <v>88</v>
      </c>
      <c r="R4" s="10" t="s">
        <v>89</v>
      </c>
      <c r="S4" s="10" t="s">
        <v>69</v>
      </c>
      <c r="T4" s="13" t="s">
        <v>70</v>
      </c>
      <c r="U4" s="13"/>
      <c r="V4" s="14"/>
    </row>
    <row r="5" customFormat="false" ht="23.85" hidden="false" customHeight="false" outlineLevel="0" collapsed="false">
      <c r="A5" s="10" t="s">
        <v>90</v>
      </c>
      <c r="B5" s="10" t="s">
        <v>54</v>
      </c>
      <c r="C5" s="10" t="s">
        <v>55</v>
      </c>
      <c r="D5" s="10" t="s">
        <v>56</v>
      </c>
      <c r="E5" s="10" t="n">
        <v>1</v>
      </c>
      <c r="F5" s="11" t="s">
        <v>91</v>
      </c>
      <c r="G5" s="10" t="s">
        <v>92</v>
      </c>
      <c r="H5" s="10" t="s">
        <v>93</v>
      </c>
      <c r="I5" s="10" t="s">
        <v>94</v>
      </c>
      <c r="J5" s="10" t="s">
        <v>95</v>
      </c>
      <c r="K5" s="10" t="s">
        <v>62</v>
      </c>
      <c r="L5" s="11" t="s">
        <v>96</v>
      </c>
      <c r="M5" s="10" t="s">
        <v>64</v>
      </c>
      <c r="N5" s="10"/>
      <c r="O5" s="10" t="s">
        <v>65</v>
      </c>
      <c r="P5" s="10" t="s">
        <v>66</v>
      </c>
      <c r="Q5" s="12" t="s">
        <v>97</v>
      </c>
      <c r="R5" s="10" t="s">
        <v>98</v>
      </c>
      <c r="S5" s="10" t="s">
        <v>69</v>
      </c>
      <c r="T5" s="13" t="s">
        <v>70</v>
      </c>
      <c r="U5" s="13"/>
      <c r="V5" s="14"/>
    </row>
    <row r="6" customFormat="false" ht="35.05" hidden="false" customHeight="false" outlineLevel="0" collapsed="false">
      <c r="A6" s="10" t="s">
        <v>99</v>
      </c>
      <c r="B6" s="10" t="s">
        <v>54</v>
      </c>
      <c r="C6" s="10" t="s">
        <v>55</v>
      </c>
      <c r="D6" s="10" t="s">
        <v>56</v>
      </c>
      <c r="E6" s="10" t="n">
        <v>1</v>
      </c>
      <c r="F6" s="11" t="s">
        <v>100</v>
      </c>
      <c r="G6" s="10" t="s">
        <v>101</v>
      </c>
      <c r="H6" s="10" t="s">
        <v>102</v>
      </c>
      <c r="I6" s="10" t="s">
        <v>103</v>
      </c>
      <c r="J6" s="10" t="s">
        <v>104</v>
      </c>
      <c r="K6" s="10" t="s">
        <v>62</v>
      </c>
      <c r="L6" s="11" t="s">
        <v>105</v>
      </c>
      <c r="M6" s="10" t="s">
        <v>64</v>
      </c>
      <c r="N6" s="10"/>
      <c r="O6" s="10" t="s">
        <v>65</v>
      </c>
      <c r="P6" s="10" t="s">
        <v>66</v>
      </c>
      <c r="Q6" s="12" t="s">
        <v>106</v>
      </c>
      <c r="R6" s="10" t="s">
        <v>107</v>
      </c>
      <c r="S6" s="10" t="s">
        <v>69</v>
      </c>
      <c r="T6" s="13" t="s">
        <v>70</v>
      </c>
      <c r="U6" s="13"/>
      <c r="V6" s="14"/>
    </row>
    <row r="7" customFormat="false" ht="35.05" hidden="false" customHeight="false" outlineLevel="0" collapsed="false">
      <c r="A7" s="10" t="s">
        <v>108</v>
      </c>
      <c r="B7" s="10" t="s">
        <v>54</v>
      </c>
      <c r="C7" s="10" t="s">
        <v>55</v>
      </c>
      <c r="D7" s="10" t="s">
        <v>56</v>
      </c>
      <c r="E7" s="10" t="n">
        <v>2</v>
      </c>
      <c r="F7" s="11" t="s">
        <v>109</v>
      </c>
      <c r="G7" s="10" t="s">
        <v>110</v>
      </c>
      <c r="H7" s="10" t="s">
        <v>111</v>
      </c>
      <c r="I7" s="10" t="s">
        <v>112</v>
      </c>
      <c r="J7" s="10" t="s">
        <v>113</v>
      </c>
      <c r="K7" s="10" t="s">
        <v>62</v>
      </c>
      <c r="L7" s="11" t="s">
        <v>114</v>
      </c>
      <c r="M7" s="10" t="s">
        <v>64</v>
      </c>
      <c r="N7" s="10"/>
      <c r="O7" s="10" t="s">
        <v>65</v>
      </c>
      <c r="P7" s="10" t="s">
        <v>66</v>
      </c>
      <c r="Q7" s="12" t="s">
        <v>115</v>
      </c>
      <c r="R7" s="10" t="s">
        <v>116</v>
      </c>
      <c r="S7" s="10" t="s">
        <v>69</v>
      </c>
      <c r="T7" s="13" t="s">
        <v>70</v>
      </c>
      <c r="U7" s="13"/>
      <c r="V7" s="14"/>
    </row>
    <row r="8" customFormat="false" ht="46.25" hidden="false" customHeight="false" outlineLevel="0" collapsed="false">
      <c r="A8" s="10" t="s">
        <v>117</v>
      </c>
      <c r="B8" s="10" t="s">
        <v>54</v>
      </c>
      <c r="C8" s="10" t="s">
        <v>55</v>
      </c>
      <c r="D8" s="10" t="s">
        <v>56</v>
      </c>
      <c r="E8" s="10" t="n">
        <v>2</v>
      </c>
      <c r="F8" s="11" t="s">
        <v>118</v>
      </c>
      <c r="G8" s="10" t="s">
        <v>119</v>
      </c>
      <c r="H8" s="10" t="s">
        <v>120</v>
      </c>
      <c r="I8" s="10" t="s">
        <v>121</v>
      </c>
      <c r="J8" s="10" t="s">
        <v>122</v>
      </c>
      <c r="K8" s="10" t="s">
        <v>62</v>
      </c>
      <c r="L8" s="11" t="s">
        <v>123</v>
      </c>
      <c r="M8" s="10" t="s">
        <v>64</v>
      </c>
      <c r="N8" s="10"/>
      <c r="O8" s="10" t="s">
        <v>65</v>
      </c>
      <c r="P8" s="10" t="s">
        <v>66</v>
      </c>
      <c r="Q8" s="12" t="s">
        <v>124</v>
      </c>
      <c r="R8" s="10" t="s">
        <v>125</v>
      </c>
      <c r="S8" s="10" t="s">
        <v>69</v>
      </c>
      <c r="T8" s="13" t="s">
        <v>70</v>
      </c>
      <c r="U8" s="13"/>
      <c r="V8" s="14" t="s">
        <v>126</v>
      </c>
    </row>
    <row r="9" customFormat="false" ht="23.85" hidden="false" customHeight="false" outlineLevel="0" collapsed="false">
      <c r="A9" s="10" t="s">
        <v>127</v>
      </c>
      <c r="B9" s="10" t="s">
        <v>54</v>
      </c>
      <c r="C9" s="10" t="s">
        <v>55</v>
      </c>
      <c r="D9" s="10" t="s">
        <v>56</v>
      </c>
      <c r="E9" s="10" t="n">
        <v>2</v>
      </c>
      <c r="F9" s="11" t="s">
        <v>128</v>
      </c>
      <c r="G9" s="10" t="s">
        <v>129</v>
      </c>
      <c r="H9" s="10" t="s">
        <v>130</v>
      </c>
      <c r="I9" s="10" t="s">
        <v>131</v>
      </c>
      <c r="J9" s="10" t="s">
        <v>132</v>
      </c>
      <c r="K9" s="10" t="s">
        <v>62</v>
      </c>
      <c r="L9" s="11" t="s">
        <v>133</v>
      </c>
      <c r="M9" s="10" t="s">
        <v>64</v>
      </c>
      <c r="N9" s="10"/>
      <c r="O9" s="10" t="s">
        <v>65</v>
      </c>
      <c r="P9" s="10" t="s">
        <v>66</v>
      </c>
      <c r="Q9" s="12" t="s">
        <v>88</v>
      </c>
      <c r="R9" s="10" t="s">
        <v>89</v>
      </c>
      <c r="S9" s="10" t="s">
        <v>69</v>
      </c>
      <c r="T9" s="13" t="s">
        <v>70</v>
      </c>
      <c r="U9" s="13"/>
      <c r="V9" s="14"/>
    </row>
    <row r="10" customFormat="false" ht="23.85" hidden="false" customHeight="false" outlineLevel="0" collapsed="false">
      <c r="A10" s="10" t="s">
        <v>134</v>
      </c>
      <c r="B10" s="10" t="s">
        <v>54</v>
      </c>
      <c r="C10" s="10" t="s">
        <v>55</v>
      </c>
      <c r="D10" s="10" t="s">
        <v>56</v>
      </c>
      <c r="E10" s="10" t="n">
        <v>2</v>
      </c>
      <c r="F10" s="11" t="s">
        <v>135</v>
      </c>
      <c r="G10" s="10" t="s">
        <v>136</v>
      </c>
      <c r="H10" s="10" t="s">
        <v>137</v>
      </c>
      <c r="I10" s="10" t="s">
        <v>138</v>
      </c>
      <c r="J10" s="10" t="s">
        <v>139</v>
      </c>
      <c r="K10" s="10" t="s">
        <v>62</v>
      </c>
      <c r="L10" s="11" t="s">
        <v>140</v>
      </c>
      <c r="M10" s="10" t="s">
        <v>64</v>
      </c>
      <c r="N10" s="10"/>
      <c r="O10" s="10" t="s">
        <v>65</v>
      </c>
      <c r="P10" s="10" t="s">
        <v>66</v>
      </c>
      <c r="Q10" s="12" t="s">
        <v>141</v>
      </c>
      <c r="R10" s="10" t="s">
        <v>142</v>
      </c>
      <c r="S10" s="10" t="s">
        <v>69</v>
      </c>
      <c r="T10" s="13" t="s">
        <v>70</v>
      </c>
      <c r="U10" s="13"/>
      <c r="V10" s="14"/>
    </row>
    <row r="11" customFormat="false" ht="23.85" hidden="false" customHeight="false" outlineLevel="0" collapsed="false">
      <c r="A11" s="10" t="s">
        <v>143</v>
      </c>
      <c r="B11" s="10" t="s">
        <v>54</v>
      </c>
      <c r="C11" s="10" t="s">
        <v>55</v>
      </c>
      <c r="D11" s="10" t="s">
        <v>56</v>
      </c>
      <c r="E11" s="10" t="n">
        <v>2</v>
      </c>
      <c r="F11" s="11" t="s">
        <v>144</v>
      </c>
      <c r="G11" s="10" t="s">
        <v>145</v>
      </c>
      <c r="H11" s="10" t="s">
        <v>146</v>
      </c>
      <c r="I11" s="10" t="s">
        <v>147</v>
      </c>
      <c r="J11" s="10" t="s">
        <v>148</v>
      </c>
      <c r="K11" s="10" t="s">
        <v>62</v>
      </c>
      <c r="L11" s="11" t="s">
        <v>149</v>
      </c>
      <c r="M11" s="10" t="s">
        <v>64</v>
      </c>
      <c r="N11" s="10"/>
      <c r="O11" s="10" t="s">
        <v>65</v>
      </c>
      <c r="P11" s="10" t="s">
        <v>66</v>
      </c>
      <c r="Q11" s="12" t="s">
        <v>150</v>
      </c>
      <c r="R11" s="10" t="s">
        <v>151</v>
      </c>
      <c r="S11" s="10" t="s">
        <v>69</v>
      </c>
      <c r="T11" s="13" t="s">
        <v>70</v>
      </c>
      <c r="U11" s="13"/>
      <c r="V11" s="14"/>
    </row>
    <row r="12" customFormat="false" ht="23.85" hidden="false" customHeight="false" outlineLevel="0" collapsed="false">
      <c r="A12" s="10" t="s">
        <v>152</v>
      </c>
      <c r="B12" s="10" t="s">
        <v>54</v>
      </c>
      <c r="C12" s="10" t="s">
        <v>55</v>
      </c>
      <c r="D12" s="10" t="s">
        <v>56</v>
      </c>
      <c r="E12" s="10" t="n">
        <v>2</v>
      </c>
      <c r="F12" s="11" t="s">
        <v>153</v>
      </c>
      <c r="G12" s="10" t="s">
        <v>121</v>
      </c>
      <c r="H12" s="10" t="s">
        <v>122</v>
      </c>
      <c r="I12" s="10" t="s">
        <v>154</v>
      </c>
      <c r="J12" s="10" t="s">
        <v>120</v>
      </c>
      <c r="K12" s="10" t="s">
        <v>62</v>
      </c>
      <c r="L12" s="11" t="s">
        <v>155</v>
      </c>
      <c r="M12" s="10" t="s">
        <v>64</v>
      </c>
      <c r="N12" s="10"/>
      <c r="O12" s="10" t="s">
        <v>65</v>
      </c>
      <c r="P12" s="10" t="s">
        <v>66</v>
      </c>
      <c r="Q12" s="12" t="s">
        <v>156</v>
      </c>
      <c r="R12" s="10" t="s">
        <v>157</v>
      </c>
      <c r="S12" s="10" t="s">
        <v>69</v>
      </c>
      <c r="T12" s="13" t="s">
        <v>70</v>
      </c>
      <c r="U12" s="13"/>
      <c r="V12" s="14"/>
    </row>
    <row r="13" customFormat="false" ht="23.85" hidden="false" customHeight="false" outlineLevel="0" collapsed="false">
      <c r="A13" s="10" t="s">
        <v>158</v>
      </c>
      <c r="B13" s="10" t="s">
        <v>54</v>
      </c>
      <c r="C13" s="10" t="s">
        <v>55</v>
      </c>
      <c r="D13" s="10" t="s">
        <v>56</v>
      </c>
      <c r="E13" s="10" t="n">
        <v>3</v>
      </c>
      <c r="F13" s="11" t="s">
        <v>159</v>
      </c>
      <c r="G13" s="10" t="s">
        <v>160</v>
      </c>
      <c r="H13" s="10" t="s">
        <v>161</v>
      </c>
      <c r="I13" s="10" t="s">
        <v>162</v>
      </c>
      <c r="J13" s="10" t="s">
        <v>163</v>
      </c>
      <c r="K13" s="10" t="s">
        <v>62</v>
      </c>
      <c r="L13" s="11" t="s">
        <v>164</v>
      </c>
      <c r="M13" s="10" t="s">
        <v>64</v>
      </c>
      <c r="N13" s="10"/>
      <c r="O13" s="10" t="s">
        <v>65</v>
      </c>
      <c r="P13" s="10" t="s">
        <v>66</v>
      </c>
      <c r="Q13" s="12" t="s">
        <v>88</v>
      </c>
      <c r="R13" s="10" t="s">
        <v>89</v>
      </c>
      <c r="S13" s="10" t="s">
        <v>69</v>
      </c>
      <c r="T13" s="13" t="s">
        <v>70</v>
      </c>
      <c r="U13" s="13"/>
      <c r="V13" s="14"/>
    </row>
    <row r="14" customFormat="false" ht="23.85" hidden="false" customHeight="false" outlineLevel="0" collapsed="false">
      <c r="A14" s="10" t="s">
        <v>165</v>
      </c>
      <c r="B14" s="10" t="s">
        <v>54</v>
      </c>
      <c r="C14" s="10" t="s">
        <v>55</v>
      </c>
      <c r="D14" s="10" t="s">
        <v>56</v>
      </c>
      <c r="E14" s="10" t="n">
        <v>3</v>
      </c>
      <c r="F14" s="11" t="s">
        <v>166</v>
      </c>
      <c r="G14" s="10" t="s">
        <v>167</v>
      </c>
      <c r="H14" s="10" t="s">
        <v>168</v>
      </c>
      <c r="I14" s="10" t="s">
        <v>169</v>
      </c>
      <c r="J14" s="10" t="s">
        <v>170</v>
      </c>
      <c r="K14" s="10" t="s">
        <v>62</v>
      </c>
      <c r="L14" s="11" t="s">
        <v>171</v>
      </c>
      <c r="M14" s="10" t="s">
        <v>64</v>
      </c>
      <c r="N14" s="10"/>
      <c r="O14" s="10" t="s">
        <v>65</v>
      </c>
      <c r="P14" s="10" t="s">
        <v>66</v>
      </c>
      <c r="Q14" s="12" t="s">
        <v>172</v>
      </c>
      <c r="R14" s="10" t="s">
        <v>173</v>
      </c>
      <c r="S14" s="10" t="s">
        <v>69</v>
      </c>
      <c r="T14" s="13" t="s">
        <v>70</v>
      </c>
      <c r="U14" s="13"/>
      <c r="V14" s="14"/>
    </row>
    <row r="15" customFormat="false" ht="23.85" hidden="false" customHeight="false" outlineLevel="0" collapsed="false">
      <c r="A15" s="10" t="s">
        <v>174</v>
      </c>
      <c r="B15" s="10" t="s">
        <v>54</v>
      </c>
      <c r="C15" s="10" t="s">
        <v>55</v>
      </c>
      <c r="D15" s="10" t="s">
        <v>56</v>
      </c>
      <c r="E15" s="10" t="n">
        <v>3</v>
      </c>
      <c r="F15" s="11" t="s">
        <v>175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10" t="s">
        <v>62</v>
      </c>
      <c r="L15" s="11" t="s">
        <v>180</v>
      </c>
      <c r="M15" s="10" t="s">
        <v>64</v>
      </c>
      <c r="N15" s="10"/>
      <c r="O15" s="10" t="s">
        <v>65</v>
      </c>
      <c r="P15" s="10" t="s">
        <v>66</v>
      </c>
      <c r="Q15" s="12" t="s">
        <v>181</v>
      </c>
      <c r="R15" s="10" t="s">
        <v>182</v>
      </c>
      <c r="S15" s="10" t="s">
        <v>69</v>
      </c>
      <c r="T15" s="13" t="s">
        <v>70</v>
      </c>
      <c r="U15" s="13"/>
      <c r="V15" s="14"/>
    </row>
    <row r="16" customFormat="false" ht="23.85" hidden="false" customHeight="false" outlineLevel="0" collapsed="false">
      <c r="A16" s="10" t="s">
        <v>183</v>
      </c>
      <c r="B16" s="10" t="s">
        <v>54</v>
      </c>
      <c r="C16" s="10" t="s">
        <v>55</v>
      </c>
      <c r="D16" s="10" t="s">
        <v>56</v>
      </c>
      <c r="E16" s="10" t="n">
        <v>3</v>
      </c>
      <c r="F16" s="11" t="s">
        <v>184</v>
      </c>
      <c r="G16" s="10" t="s">
        <v>185</v>
      </c>
      <c r="H16" s="10" t="s">
        <v>186</v>
      </c>
      <c r="I16" s="10" t="s">
        <v>187</v>
      </c>
      <c r="J16" s="10" t="s">
        <v>188</v>
      </c>
      <c r="K16" s="10" t="s">
        <v>62</v>
      </c>
      <c r="L16" s="11" t="s">
        <v>189</v>
      </c>
      <c r="M16" s="10" t="s">
        <v>64</v>
      </c>
      <c r="N16" s="10"/>
      <c r="O16" s="10" t="s">
        <v>65</v>
      </c>
      <c r="P16" s="10" t="s">
        <v>66</v>
      </c>
      <c r="Q16" s="12" t="s">
        <v>97</v>
      </c>
      <c r="R16" s="10" t="s">
        <v>98</v>
      </c>
      <c r="S16" s="10" t="s">
        <v>69</v>
      </c>
      <c r="T16" s="13" t="s">
        <v>70</v>
      </c>
      <c r="U16" s="13"/>
      <c r="V16" s="14"/>
    </row>
    <row r="17" customFormat="false" ht="35.05" hidden="false" customHeight="false" outlineLevel="0" collapsed="false">
      <c r="A17" s="10" t="s">
        <v>190</v>
      </c>
      <c r="B17" s="10" t="s">
        <v>54</v>
      </c>
      <c r="C17" s="10" t="s">
        <v>55</v>
      </c>
      <c r="D17" s="10" t="s">
        <v>56</v>
      </c>
      <c r="E17" s="10" t="n">
        <v>3</v>
      </c>
      <c r="F17" s="11" t="s">
        <v>191</v>
      </c>
      <c r="G17" s="10" t="s">
        <v>192</v>
      </c>
      <c r="H17" s="10" t="s">
        <v>137</v>
      </c>
      <c r="I17" s="10" t="s">
        <v>187</v>
      </c>
      <c r="J17" s="10" t="s">
        <v>136</v>
      </c>
      <c r="K17" s="10" t="s">
        <v>62</v>
      </c>
      <c r="L17" s="11" t="s">
        <v>193</v>
      </c>
      <c r="M17" s="10" t="s">
        <v>64</v>
      </c>
      <c r="N17" s="10"/>
      <c r="O17" s="10" t="s">
        <v>65</v>
      </c>
      <c r="P17" s="10" t="s">
        <v>66</v>
      </c>
      <c r="Q17" s="12" t="s">
        <v>194</v>
      </c>
      <c r="R17" s="10" t="s">
        <v>195</v>
      </c>
      <c r="S17" s="10" t="s">
        <v>69</v>
      </c>
      <c r="T17" s="13" t="s">
        <v>70</v>
      </c>
      <c r="U17" s="13"/>
      <c r="V17" s="14"/>
    </row>
    <row r="18" customFormat="false" ht="23.85" hidden="false" customHeight="false" outlineLevel="0" collapsed="false">
      <c r="A18" s="10" t="s">
        <v>196</v>
      </c>
      <c r="B18" s="10" t="s">
        <v>54</v>
      </c>
      <c r="C18" s="10" t="s">
        <v>55</v>
      </c>
      <c r="D18" s="10" t="s">
        <v>56</v>
      </c>
      <c r="E18" s="10" t="n">
        <v>3</v>
      </c>
      <c r="F18" s="11" t="s">
        <v>197</v>
      </c>
      <c r="G18" s="10" t="s">
        <v>198</v>
      </c>
      <c r="H18" s="10" t="s">
        <v>199</v>
      </c>
      <c r="I18" s="10" t="s">
        <v>200</v>
      </c>
      <c r="J18" s="10" t="s">
        <v>201</v>
      </c>
      <c r="K18" s="10" t="s">
        <v>62</v>
      </c>
      <c r="L18" s="11" t="s">
        <v>202</v>
      </c>
      <c r="M18" s="10" t="s">
        <v>64</v>
      </c>
      <c r="N18" s="10"/>
      <c r="O18" s="10" t="s">
        <v>65</v>
      </c>
      <c r="P18" s="10" t="s">
        <v>66</v>
      </c>
      <c r="Q18" s="12" t="s">
        <v>106</v>
      </c>
      <c r="R18" s="10" t="s">
        <v>107</v>
      </c>
      <c r="S18" s="10" t="s">
        <v>69</v>
      </c>
      <c r="T18" s="13" t="s">
        <v>70</v>
      </c>
      <c r="U18" s="13"/>
      <c r="V18" s="14"/>
    </row>
    <row r="19" customFormat="false" ht="23.85" hidden="false" customHeight="false" outlineLevel="0" collapsed="false">
      <c r="A19" s="10" t="s">
        <v>203</v>
      </c>
      <c r="B19" s="10" t="s">
        <v>54</v>
      </c>
      <c r="C19" s="10" t="s">
        <v>55</v>
      </c>
      <c r="D19" s="10" t="s">
        <v>56</v>
      </c>
      <c r="E19" s="10" t="n">
        <v>3</v>
      </c>
      <c r="F19" s="11" t="s">
        <v>204</v>
      </c>
      <c r="G19" s="10" t="s">
        <v>205</v>
      </c>
      <c r="H19" s="10" t="s">
        <v>206</v>
      </c>
      <c r="I19" s="10" t="s">
        <v>207</v>
      </c>
      <c r="J19" s="10" t="s">
        <v>208</v>
      </c>
      <c r="K19" s="10" t="s">
        <v>62</v>
      </c>
      <c r="L19" s="11" t="s">
        <v>209</v>
      </c>
      <c r="M19" s="10" t="s">
        <v>64</v>
      </c>
      <c r="N19" s="10"/>
      <c r="O19" s="10" t="s">
        <v>65</v>
      </c>
      <c r="P19" s="10" t="s">
        <v>66</v>
      </c>
      <c r="Q19" s="12" t="s">
        <v>210</v>
      </c>
      <c r="R19" s="10" t="s">
        <v>211</v>
      </c>
      <c r="S19" s="10" t="s">
        <v>69</v>
      </c>
      <c r="T19" s="13" t="s">
        <v>70</v>
      </c>
      <c r="U19" s="13"/>
      <c r="V19" s="14"/>
    </row>
    <row r="20" customFormat="false" ht="23.85" hidden="false" customHeight="false" outlineLevel="0" collapsed="false">
      <c r="A20" s="10" t="s">
        <v>212</v>
      </c>
      <c r="B20" s="10" t="s">
        <v>54</v>
      </c>
      <c r="C20" s="10" t="s">
        <v>55</v>
      </c>
      <c r="D20" s="10" t="s">
        <v>213</v>
      </c>
      <c r="E20" s="10" t="n">
        <v>3</v>
      </c>
      <c r="F20" s="11" t="s">
        <v>214</v>
      </c>
      <c r="G20" s="10"/>
      <c r="H20" s="10"/>
      <c r="I20" s="10"/>
      <c r="J20" s="10"/>
      <c r="K20" s="10" t="s">
        <v>215</v>
      </c>
      <c r="L20" s="11" t="s">
        <v>216</v>
      </c>
      <c r="M20" s="10" t="s">
        <v>64</v>
      </c>
      <c r="N20" s="10" t="s">
        <v>217</v>
      </c>
      <c r="O20" s="10" t="s">
        <v>65</v>
      </c>
      <c r="P20" s="10" t="s">
        <v>66</v>
      </c>
      <c r="Q20" s="12" t="s">
        <v>218</v>
      </c>
      <c r="R20" s="10" t="s">
        <v>219</v>
      </c>
      <c r="S20" s="10" t="s">
        <v>69</v>
      </c>
      <c r="T20" s="13" t="s">
        <v>70</v>
      </c>
      <c r="U20" s="13"/>
      <c r="V20" s="14"/>
    </row>
    <row r="21" customFormat="false" ht="57.45" hidden="false" customHeight="false" outlineLevel="0" collapsed="false">
      <c r="A21" s="10" t="s">
        <v>220</v>
      </c>
      <c r="B21" s="10" t="s">
        <v>54</v>
      </c>
      <c r="C21" s="10" t="s">
        <v>55</v>
      </c>
      <c r="D21" s="10" t="s">
        <v>56</v>
      </c>
      <c r="E21" s="10" t="n">
        <v>3</v>
      </c>
      <c r="F21" s="11" t="s">
        <v>221</v>
      </c>
      <c r="G21" s="10" t="s">
        <v>222</v>
      </c>
      <c r="H21" s="10" t="s">
        <v>223</v>
      </c>
      <c r="I21" s="10" t="s">
        <v>224</v>
      </c>
      <c r="J21" s="10" t="s">
        <v>225</v>
      </c>
      <c r="K21" s="10" t="s">
        <v>62</v>
      </c>
      <c r="L21" s="11" t="s">
        <v>226</v>
      </c>
      <c r="M21" s="10" t="s">
        <v>64</v>
      </c>
      <c r="N21" s="10" t="s">
        <v>217</v>
      </c>
      <c r="O21" s="10" t="s">
        <v>65</v>
      </c>
      <c r="P21" s="10" t="s">
        <v>66</v>
      </c>
      <c r="Q21" s="12" t="s">
        <v>227</v>
      </c>
      <c r="R21" s="10" t="s">
        <v>228</v>
      </c>
      <c r="S21" s="10" t="s">
        <v>69</v>
      </c>
      <c r="T21" s="13" t="s">
        <v>70</v>
      </c>
      <c r="U21" s="13"/>
      <c r="V21" s="14" t="s">
        <v>229</v>
      </c>
    </row>
    <row r="22" customFormat="false" ht="23.85" hidden="false" customHeight="false" outlineLevel="0" collapsed="false">
      <c r="A22" s="10" t="s">
        <v>230</v>
      </c>
      <c r="B22" s="10" t="s">
        <v>54</v>
      </c>
      <c r="C22" s="10" t="s">
        <v>55</v>
      </c>
      <c r="D22" s="10" t="s">
        <v>56</v>
      </c>
      <c r="E22" s="10" t="n">
        <v>3</v>
      </c>
      <c r="F22" s="11" t="s">
        <v>231</v>
      </c>
      <c r="G22" s="10" t="s">
        <v>154</v>
      </c>
      <c r="H22" s="10" t="s">
        <v>122</v>
      </c>
      <c r="I22" s="10" t="s">
        <v>119</v>
      </c>
      <c r="J22" s="10" t="s">
        <v>121</v>
      </c>
      <c r="K22" s="10" t="s">
        <v>62</v>
      </c>
      <c r="L22" s="11" t="s">
        <v>232</v>
      </c>
      <c r="M22" s="10" t="s">
        <v>64</v>
      </c>
      <c r="N22" s="10"/>
      <c r="O22" s="10" t="s">
        <v>65</v>
      </c>
      <c r="P22" s="10" t="s">
        <v>66</v>
      </c>
      <c r="Q22" s="12" t="s">
        <v>79</v>
      </c>
      <c r="R22" s="10" t="s">
        <v>80</v>
      </c>
      <c r="S22" s="10" t="s">
        <v>69</v>
      </c>
      <c r="T22" s="13" t="s">
        <v>70</v>
      </c>
      <c r="U22" s="13"/>
      <c r="V22" s="14"/>
    </row>
    <row r="23" customFormat="false" ht="23.85" hidden="false" customHeight="false" outlineLevel="0" collapsed="false">
      <c r="A23" s="10" t="s">
        <v>233</v>
      </c>
      <c r="B23" s="10" t="s">
        <v>54</v>
      </c>
      <c r="C23" s="10" t="s">
        <v>55</v>
      </c>
      <c r="D23" s="10" t="s">
        <v>56</v>
      </c>
      <c r="E23" s="10" t="n">
        <v>4</v>
      </c>
      <c r="F23" s="11" t="s">
        <v>234</v>
      </c>
      <c r="G23" s="10" t="s">
        <v>235</v>
      </c>
      <c r="H23" s="10" t="s">
        <v>236</v>
      </c>
      <c r="I23" s="10" t="s">
        <v>237</v>
      </c>
      <c r="J23" s="10" t="s">
        <v>238</v>
      </c>
      <c r="K23" s="10" t="s">
        <v>62</v>
      </c>
      <c r="L23" s="11" t="s">
        <v>239</v>
      </c>
      <c r="M23" s="10" t="s">
        <v>64</v>
      </c>
      <c r="N23" s="10"/>
      <c r="O23" s="10" t="s">
        <v>65</v>
      </c>
      <c r="P23" s="10" t="s">
        <v>66</v>
      </c>
      <c r="Q23" s="12" t="s">
        <v>240</v>
      </c>
      <c r="R23" s="10" t="s">
        <v>241</v>
      </c>
      <c r="S23" s="10" t="s">
        <v>69</v>
      </c>
      <c r="T23" s="13" t="s">
        <v>70</v>
      </c>
      <c r="U23" s="13"/>
      <c r="V23" s="14"/>
    </row>
    <row r="24" customFormat="false" ht="23.85" hidden="false" customHeight="false" outlineLevel="0" collapsed="false">
      <c r="A24" s="10" t="s">
        <v>242</v>
      </c>
      <c r="B24" s="10" t="s">
        <v>54</v>
      </c>
      <c r="C24" s="10" t="s">
        <v>55</v>
      </c>
      <c r="D24" s="10" t="s">
        <v>56</v>
      </c>
      <c r="E24" s="10" t="n">
        <v>4</v>
      </c>
      <c r="F24" s="11" t="s">
        <v>243</v>
      </c>
      <c r="G24" s="10" t="s">
        <v>224</v>
      </c>
      <c r="H24" s="10" t="s">
        <v>223</v>
      </c>
      <c r="I24" s="10" t="s">
        <v>244</v>
      </c>
      <c r="J24" s="10" t="s">
        <v>225</v>
      </c>
      <c r="K24" s="10" t="s">
        <v>62</v>
      </c>
      <c r="L24" s="11" t="s">
        <v>245</v>
      </c>
      <c r="M24" s="10" t="s">
        <v>64</v>
      </c>
      <c r="N24" s="10"/>
      <c r="O24" s="10" t="s">
        <v>65</v>
      </c>
      <c r="P24" s="10" t="s">
        <v>66</v>
      </c>
      <c r="Q24" s="12" t="s">
        <v>246</v>
      </c>
      <c r="R24" s="10" t="s">
        <v>247</v>
      </c>
      <c r="S24" s="10" t="s">
        <v>69</v>
      </c>
      <c r="T24" s="13" t="s">
        <v>70</v>
      </c>
      <c r="U24" s="13"/>
      <c r="V24" s="14"/>
    </row>
    <row r="25" customFormat="false" ht="23.85" hidden="false" customHeight="false" outlineLevel="0" collapsed="false">
      <c r="A25" s="10" t="s">
        <v>248</v>
      </c>
      <c r="B25" s="10" t="s">
        <v>54</v>
      </c>
      <c r="C25" s="10" t="s">
        <v>55</v>
      </c>
      <c r="D25" s="10" t="s">
        <v>56</v>
      </c>
      <c r="E25" s="10" t="n">
        <v>4</v>
      </c>
      <c r="F25" s="11" t="s">
        <v>249</v>
      </c>
      <c r="G25" s="10" t="s">
        <v>222</v>
      </c>
      <c r="H25" s="10" t="s">
        <v>250</v>
      </c>
      <c r="I25" s="10" t="s">
        <v>162</v>
      </c>
      <c r="J25" s="10" t="s">
        <v>251</v>
      </c>
      <c r="K25" s="10" t="s">
        <v>62</v>
      </c>
      <c r="L25" s="11" t="s">
        <v>252</v>
      </c>
      <c r="M25" s="10" t="s">
        <v>64</v>
      </c>
      <c r="N25" s="10"/>
      <c r="O25" s="10" t="s">
        <v>65</v>
      </c>
      <c r="P25" s="10" t="s">
        <v>66</v>
      </c>
      <c r="Q25" s="12" t="s">
        <v>253</v>
      </c>
      <c r="R25" s="10" t="s">
        <v>254</v>
      </c>
      <c r="S25" s="10" t="s">
        <v>69</v>
      </c>
      <c r="T25" s="13" t="s">
        <v>70</v>
      </c>
      <c r="U25" s="13"/>
      <c r="V25" s="14"/>
    </row>
    <row r="26" customFormat="false" ht="23.85" hidden="false" customHeight="false" outlineLevel="0" collapsed="false">
      <c r="A26" s="10" t="s">
        <v>255</v>
      </c>
      <c r="B26" s="10" t="s">
        <v>54</v>
      </c>
      <c r="C26" s="10" t="s">
        <v>55</v>
      </c>
      <c r="D26" s="10" t="s">
        <v>56</v>
      </c>
      <c r="E26" s="10" t="n">
        <v>4</v>
      </c>
      <c r="F26" s="11" t="s">
        <v>256</v>
      </c>
      <c r="G26" s="10" t="s">
        <v>257</v>
      </c>
      <c r="H26" s="10" t="s">
        <v>258</v>
      </c>
      <c r="I26" s="10" t="s">
        <v>259</v>
      </c>
      <c r="J26" s="10" t="s">
        <v>260</v>
      </c>
      <c r="K26" s="10" t="s">
        <v>62</v>
      </c>
      <c r="L26" s="11" t="s">
        <v>261</v>
      </c>
      <c r="M26" s="10" t="s">
        <v>64</v>
      </c>
      <c r="N26" s="10" t="s">
        <v>217</v>
      </c>
      <c r="O26" s="10" t="s">
        <v>65</v>
      </c>
      <c r="P26" s="10" t="s">
        <v>66</v>
      </c>
      <c r="Q26" s="12" t="s">
        <v>262</v>
      </c>
      <c r="R26" s="10" t="s">
        <v>263</v>
      </c>
      <c r="S26" s="10" t="s">
        <v>69</v>
      </c>
      <c r="T26" s="13" t="s">
        <v>70</v>
      </c>
      <c r="U26" s="13"/>
      <c r="V26" s="14"/>
    </row>
    <row r="27" customFormat="false" ht="23.85" hidden="false" customHeight="false" outlineLevel="0" collapsed="false">
      <c r="A27" s="10" t="s">
        <v>264</v>
      </c>
      <c r="B27" s="10" t="s">
        <v>54</v>
      </c>
      <c r="C27" s="10" t="s">
        <v>55</v>
      </c>
      <c r="D27" s="10" t="s">
        <v>213</v>
      </c>
      <c r="E27" s="10" t="n">
        <v>4</v>
      </c>
      <c r="F27" s="11" t="s">
        <v>265</v>
      </c>
      <c r="G27" s="10"/>
      <c r="H27" s="10"/>
      <c r="I27" s="10"/>
      <c r="J27" s="10"/>
      <c r="K27" s="10" t="s">
        <v>266</v>
      </c>
      <c r="L27" s="11" t="s">
        <v>267</v>
      </c>
      <c r="M27" s="10" t="s">
        <v>64</v>
      </c>
      <c r="N27" s="10"/>
      <c r="O27" s="10" t="s">
        <v>65</v>
      </c>
      <c r="P27" s="10" t="s">
        <v>66</v>
      </c>
      <c r="Q27" s="12" t="s">
        <v>268</v>
      </c>
      <c r="R27" s="10" t="s">
        <v>269</v>
      </c>
      <c r="S27" s="10" t="s">
        <v>69</v>
      </c>
      <c r="T27" s="13" t="s">
        <v>70</v>
      </c>
      <c r="U27" s="13"/>
      <c r="V27" s="14"/>
    </row>
    <row r="28" customFormat="false" ht="23.85" hidden="false" customHeight="false" outlineLevel="0" collapsed="false">
      <c r="A28" s="10" t="s">
        <v>270</v>
      </c>
      <c r="B28" s="10" t="s">
        <v>54</v>
      </c>
      <c r="C28" s="10" t="s">
        <v>55</v>
      </c>
      <c r="D28" s="10" t="s">
        <v>56</v>
      </c>
      <c r="E28" s="10" t="n">
        <v>4</v>
      </c>
      <c r="F28" s="11" t="s">
        <v>271</v>
      </c>
      <c r="G28" s="10" t="s">
        <v>272</v>
      </c>
      <c r="H28" s="10" t="s">
        <v>84</v>
      </c>
      <c r="I28" s="10" t="s">
        <v>273</v>
      </c>
      <c r="J28" s="10" t="s">
        <v>274</v>
      </c>
      <c r="K28" s="10" t="s">
        <v>62</v>
      </c>
      <c r="L28" s="11" t="s">
        <v>275</v>
      </c>
      <c r="M28" s="10" t="s">
        <v>64</v>
      </c>
      <c r="N28" s="10"/>
      <c r="O28" s="10" t="s">
        <v>65</v>
      </c>
      <c r="P28" s="10" t="s">
        <v>66</v>
      </c>
      <c r="Q28" s="12" t="s">
        <v>181</v>
      </c>
      <c r="R28" s="10" t="s">
        <v>182</v>
      </c>
      <c r="S28" s="10" t="s">
        <v>69</v>
      </c>
      <c r="T28" s="13" t="s">
        <v>70</v>
      </c>
      <c r="U28" s="13"/>
      <c r="V28" s="14"/>
    </row>
    <row r="29" customFormat="false" ht="35.05" hidden="false" customHeight="false" outlineLevel="0" collapsed="false">
      <c r="A29" s="10" t="s">
        <v>276</v>
      </c>
      <c r="B29" s="10" t="s">
        <v>54</v>
      </c>
      <c r="C29" s="10" t="s">
        <v>55</v>
      </c>
      <c r="D29" s="10" t="s">
        <v>56</v>
      </c>
      <c r="E29" s="10" t="n">
        <v>5</v>
      </c>
      <c r="F29" s="11" t="s">
        <v>277</v>
      </c>
      <c r="G29" s="10" t="s">
        <v>278</v>
      </c>
      <c r="H29" s="10" t="s">
        <v>187</v>
      </c>
      <c r="I29" s="10" t="s">
        <v>192</v>
      </c>
      <c r="J29" s="10" t="s">
        <v>279</v>
      </c>
      <c r="K29" s="10" t="s">
        <v>62</v>
      </c>
      <c r="L29" s="11" t="s">
        <v>280</v>
      </c>
      <c r="M29" s="10" t="s">
        <v>64</v>
      </c>
      <c r="N29" s="10"/>
      <c r="O29" s="10" t="s">
        <v>65</v>
      </c>
      <c r="P29" s="10" t="s">
        <v>66</v>
      </c>
      <c r="Q29" s="12" t="s">
        <v>281</v>
      </c>
      <c r="R29" s="10" t="s">
        <v>282</v>
      </c>
      <c r="S29" s="10" t="s">
        <v>69</v>
      </c>
      <c r="T29" s="13" t="s">
        <v>70</v>
      </c>
      <c r="U29" s="13"/>
      <c r="V29" s="14"/>
    </row>
    <row r="30" customFormat="false" ht="23.85" hidden="false" customHeight="false" outlineLevel="0" collapsed="false">
      <c r="A30" s="10" t="s">
        <v>283</v>
      </c>
      <c r="B30" s="10" t="s">
        <v>54</v>
      </c>
      <c r="C30" s="10" t="s">
        <v>55</v>
      </c>
      <c r="D30" s="10" t="s">
        <v>56</v>
      </c>
      <c r="E30" s="10" t="n">
        <v>5</v>
      </c>
      <c r="F30" s="11" t="s">
        <v>284</v>
      </c>
      <c r="G30" s="10" t="s">
        <v>285</v>
      </c>
      <c r="H30" s="10" t="s">
        <v>244</v>
      </c>
      <c r="I30" s="10" t="s">
        <v>286</v>
      </c>
      <c r="J30" s="10" t="s">
        <v>287</v>
      </c>
      <c r="K30" s="10" t="s">
        <v>62</v>
      </c>
      <c r="L30" s="11" t="s">
        <v>288</v>
      </c>
      <c r="M30" s="10" t="s">
        <v>64</v>
      </c>
      <c r="N30" s="10"/>
      <c r="O30" s="10" t="s">
        <v>65</v>
      </c>
      <c r="P30" s="10" t="s">
        <v>66</v>
      </c>
      <c r="Q30" s="12" t="s">
        <v>289</v>
      </c>
      <c r="R30" s="10" t="s">
        <v>290</v>
      </c>
      <c r="S30" s="10" t="s">
        <v>69</v>
      </c>
      <c r="T30" s="13" t="s">
        <v>70</v>
      </c>
      <c r="U30" s="13"/>
      <c r="V30" s="14"/>
    </row>
    <row r="31" customFormat="false" ht="23.85" hidden="false" customHeight="false" outlineLevel="0" collapsed="false">
      <c r="A31" s="10" t="s">
        <v>291</v>
      </c>
      <c r="B31" s="10" t="s">
        <v>54</v>
      </c>
      <c r="C31" s="10" t="s">
        <v>55</v>
      </c>
      <c r="D31" s="10" t="s">
        <v>213</v>
      </c>
      <c r="E31" s="10" t="n">
        <v>5</v>
      </c>
      <c r="F31" s="11" t="s">
        <v>292</v>
      </c>
      <c r="G31" s="10"/>
      <c r="H31" s="10"/>
      <c r="I31" s="10"/>
      <c r="J31" s="10"/>
      <c r="K31" s="10" t="s">
        <v>293</v>
      </c>
      <c r="L31" s="11" t="s">
        <v>294</v>
      </c>
      <c r="M31" s="10" t="s">
        <v>64</v>
      </c>
      <c r="N31" s="10" t="s">
        <v>217</v>
      </c>
      <c r="O31" s="10" t="s">
        <v>65</v>
      </c>
      <c r="P31" s="10" t="s">
        <v>66</v>
      </c>
      <c r="Q31" s="12" t="s">
        <v>295</v>
      </c>
      <c r="R31" s="10" t="s">
        <v>296</v>
      </c>
      <c r="S31" s="10" t="s">
        <v>69</v>
      </c>
      <c r="T31" s="13" t="s">
        <v>70</v>
      </c>
      <c r="U31" s="13"/>
      <c r="V31" s="14"/>
    </row>
    <row r="32" customFormat="false" ht="23.85" hidden="false" customHeight="false" outlineLevel="0" collapsed="false">
      <c r="A32" s="10" t="s">
        <v>297</v>
      </c>
      <c r="B32" s="10" t="s">
        <v>54</v>
      </c>
      <c r="C32" s="10" t="s">
        <v>55</v>
      </c>
      <c r="D32" s="10" t="s">
        <v>56</v>
      </c>
      <c r="E32" s="10" t="n">
        <v>5</v>
      </c>
      <c r="F32" s="11" t="s">
        <v>298</v>
      </c>
      <c r="G32" s="10" t="s">
        <v>179</v>
      </c>
      <c r="H32" s="10" t="s">
        <v>299</v>
      </c>
      <c r="I32" s="10" t="s">
        <v>113</v>
      </c>
      <c r="J32" s="10" t="s">
        <v>300</v>
      </c>
      <c r="K32" s="10" t="s">
        <v>62</v>
      </c>
      <c r="L32" s="11" t="s">
        <v>301</v>
      </c>
      <c r="M32" s="10" t="s">
        <v>64</v>
      </c>
      <c r="N32" s="10"/>
      <c r="O32" s="10" t="s">
        <v>65</v>
      </c>
      <c r="P32" s="10" t="s">
        <v>66</v>
      </c>
      <c r="Q32" s="12" t="s">
        <v>302</v>
      </c>
      <c r="R32" s="10" t="s">
        <v>303</v>
      </c>
      <c r="S32" s="10" t="s">
        <v>69</v>
      </c>
      <c r="T32" s="13" t="s">
        <v>70</v>
      </c>
      <c r="U32" s="13"/>
      <c r="V32" s="14"/>
    </row>
    <row r="33" customFormat="false" ht="46.25" hidden="false" customHeight="false" outlineLevel="0" collapsed="false">
      <c r="A33" s="10" t="s">
        <v>304</v>
      </c>
      <c r="B33" s="10" t="s">
        <v>54</v>
      </c>
      <c r="C33" s="10" t="s">
        <v>55</v>
      </c>
      <c r="D33" s="10" t="s">
        <v>56</v>
      </c>
      <c r="E33" s="10" t="n">
        <v>5</v>
      </c>
      <c r="F33" s="11" t="s">
        <v>305</v>
      </c>
      <c r="G33" s="10" t="s">
        <v>306</v>
      </c>
      <c r="H33" s="10" t="s">
        <v>307</v>
      </c>
      <c r="I33" s="10" t="s">
        <v>308</v>
      </c>
      <c r="J33" s="10" t="s">
        <v>309</v>
      </c>
      <c r="K33" s="10" t="s">
        <v>62</v>
      </c>
      <c r="L33" s="11" t="s">
        <v>310</v>
      </c>
      <c r="M33" s="10" t="s">
        <v>64</v>
      </c>
      <c r="N33" s="10"/>
      <c r="O33" s="10" t="s">
        <v>65</v>
      </c>
      <c r="P33" s="10" t="s">
        <v>66</v>
      </c>
      <c r="Q33" s="12" t="s">
        <v>79</v>
      </c>
      <c r="R33" s="10" t="s">
        <v>80</v>
      </c>
      <c r="S33" s="10" t="s">
        <v>69</v>
      </c>
      <c r="T33" s="13" t="s">
        <v>70</v>
      </c>
      <c r="U33" s="13"/>
      <c r="V33" s="14" t="s">
        <v>311</v>
      </c>
    </row>
    <row r="34" customFormat="false" ht="23.85" hidden="false" customHeight="false" outlineLevel="0" collapsed="false">
      <c r="A34" s="10" t="s">
        <v>312</v>
      </c>
      <c r="B34" s="10" t="s">
        <v>54</v>
      </c>
      <c r="C34" s="10" t="s">
        <v>313</v>
      </c>
      <c r="D34" s="10" t="s">
        <v>56</v>
      </c>
      <c r="E34" s="10" t="n">
        <v>1</v>
      </c>
      <c r="F34" s="11" t="s">
        <v>314</v>
      </c>
      <c r="G34" s="10" t="s">
        <v>315</v>
      </c>
      <c r="H34" s="10" t="s">
        <v>316</v>
      </c>
      <c r="I34" s="10" t="s">
        <v>317</v>
      </c>
      <c r="J34" s="10" t="s">
        <v>318</v>
      </c>
      <c r="K34" s="10" t="s">
        <v>62</v>
      </c>
      <c r="L34" s="11" t="s">
        <v>319</v>
      </c>
      <c r="M34" s="10" t="s">
        <v>64</v>
      </c>
      <c r="N34" s="10"/>
      <c r="O34" s="10" t="s">
        <v>320</v>
      </c>
      <c r="P34" s="10" t="s">
        <v>66</v>
      </c>
      <c r="Q34" s="12" t="s">
        <v>321</v>
      </c>
      <c r="R34" s="10" t="s">
        <v>322</v>
      </c>
      <c r="S34" s="10" t="s">
        <v>69</v>
      </c>
      <c r="T34" s="13" t="s">
        <v>70</v>
      </c>
      <c r="U34" s="13"/>
      <c r="V34" s="14"/>
    </row>
    <row r="35" customFormat="false" ht="35.05" hidden="false" customHeight="false" outlineLevel="0" collapsed="false">
      <c r="A35" s="10" t="s">
        <v>323</v>
      </c>
      <c r="B35" s="10" t="s">
        <v>54</v>
      </c>
      <c r="C35" s="10" t="s">
        <v>324</v>
      </c>
      <c r="D35" s="10" t="s">
        <v>56</v>
      </c>
      <c r="E35" s="10" t="n">
        <v>1</v>
      </c>
      <c r="F35" s="11" t="s">
        <v>325</v>
      </c>
      <c r="G35" s="10" t="s">
        <v>326</v>
      </c>
      <c r="H35" s="10" t="s">
        <v>327</v>
      </c>
      <c r="I35" s="10" t="s">
        <v>328</v>
      </c>
      <c r="J35" s="10" t="s">
        <v>329</v>
      </c>
      <c r="K35" s="10" t="s">
        <v>62</v>
      </c>
      <c r="L35" s="11" t="s">
        <v>330</v>
      </c>
      <c r="M35" s="10" t="s">
        <v>64</v>
      </c>
      <c r="N35" s="10"/>
      <c r="O35" s="10" t="s">
        <v>331</v>
      </c>
      <c r="P35" s="10" t="s">
        <v>66</v>
      </c>
      <c r="Q35" s="12" t="s">
        <v>332</v>
      </c>
      <c r="R35" s="10" t="s">
        <v>333</v>
      </c>
      <c r="S35" s="10" t="s">
        <v>69</v>
      </c>
      <c r="T35" s="13" t="s">
        <v>70</v>
      </c>
      <c r="U35" s="13"/>
      <c r="V35" s="14"/>
    </row>
    <row r="36" customFormat="false" ht="23.85" hidden="false" customHeight="false" outlineLevel="0" collapsed="false">
      <c r="A36" s="10" t="s">
        <v>334</v>
      </c>
      <c r="B36" s="10" t="s">
        <v>54</v>
      </c>
      <c r="C36" s="10" t="s">
        <v>324</v>
      </c>
      <c r="D36" s="10" t="s">
        <v>56</v>
      </c>
      <c r="E36" s="10" t="n">
        <v>1</v>
      </c>
      <c r="F36" s="11" t="s">
        <v>335</v>
      </c>
      <c r="G36" s="10" t="s">
        <v>336</v>
      </c>
      <c r="H36" s="10" t="s">
        <v>337</v>
      </c>
      <c r="I36" s="10" t="s">
        <v>338</v>
      </c>
      <c r="J36" s="10" t="s">
        <v>339</v>
      </c>
      <c r="K36" s="10" t="s">
        <v>62</v>
      </c>
      <c r="L36" s="11" t="s">
        <v>340</v>
      </c>
      <c r="M36" s="10" t="s">
        <v>64</v>
      </c>
      <c r="N36" s="10"/>
      <c r="O36" s="10" t="s">
        <v>331</v>
      </c>
      <c r="P36" s="10" t="s">
        <v>66</v>
      </c>
      <c r="Q36" s="12" t="s">
        <v>341</v>
      </c>
      <c r="R36" s="10" t="s">
        <v>342</v>
      </c>
      <c r="S36" s="10" t="s">
        <v>69</v>
      </c>
      <c r="T36" s="13" t="s">
        <v>70</v>
      </c>
      <c r="U36" s="13"/>
      <c r="V36" s="14"/>
    </row>
    <row r="37" customFormat="false" ht="23.85" hidden="false" customHeight="false" outlineLevel="0" collapsed="false">
      <c r="A37" s="10" t="s">
        <v>343</v>
      </c>
      <c r="B37" s="10" t="s">
        <v>54</v>
      </c>
      <c r="C37" s="10" t="s">
        <v>344</v>
      </c>
      <c r="D37" s="10" t="s">
        <v>56</v>
      </c>
      <c r="E37" s="10" t="n">
        <v>1</v>
      </c>
      <c r="F37" s="11" t="s">
        <v>345</v>
      </c>
      <c r="G37" s="10" t="s">
        <v>346</v>
      </c>
      <c r="H37" s="10" t="s">
        <v>347</v>
      </c>
      <c r="I37" s="10" t="s">
        <v>348</v>
      </c>
      <c r="J37" s="10" t="s">
        <v>349</v>
      </c>
      <c r="K37" s="10" t="s">
        <v>62</v>
      </c>
      <c r="L37" s="11" t="s">
        <v>350</v>
      </c>
      <c r="M37" s="10" t="s">
        <v>64</v>
      </c>
      <c r="N37" s="10"/>
      <c r="O37" s="10" t="s">
        <v>65</v>
      </c>
      <c r="P37" s="10" t="s">
        <v>66</v>
      </c>
      <c r="Q37" s="12" t="s">
        <v>351</v>
      </c>
      <c r="R37" s="10" t="s">
        <v>352</v>
      </c>
      <c r="S37" s="10" t="s">
        <v>69</v>
      </c>
      <c r="T37" s="13" t="s">
        <v>70</v>
      </c>
      <c r="U37" s="13"/>
      <c r="V37" s="14"/>
    </row>
    <row r="38" customFormat="false" ht="23.85" hidden="false" customHeight="false" outlineLevel="0" collapsed="false">
      <c r="A38" s="10" t="s">
        <v>353</v>
      </c>
      <c r="B38" s="10" t="s">
        <v>54</v>
      </c>
      <c r="C38" s="10" t="s">
        <v>354</v>
      </c>
      <c r="D38" s="10" t="s">
        <v>56</v>
      </c>
      <c r="E38" s="10" t="n">
        <v>1</v>
      </c>
      <c r="F38" s="11" t="s">
        <v>355</v>
      </c>
      <c r="G38" s="10" t="s">
        <v>356</v>
      </c>
      <c r="H38" s="10" t="s">
        <v>357</v>
      </c>
      <c r="I38" s="10" t="s">
        <v>358</v>
      </c>
      <c r="J38" s="10" t="s">
        <v>359</v>
      </c>
      <c r="K38" s="10" t="s">
        <v>62</v>
      </c>
      <c r="L38" s="11" t="s">
        <v>360</v>
      </c>
      <c r="M38" s="10" t="s">
        <v>64</v>
      </c>
      <c r="N38" s="10"/>
      <c r="O38" s="10" t="s">
        <v>361</v>
      </c>
      <c r="P38" s="10" t="s">
        <v>66</v>
      </c>
      <c r="Q38" s="12" t="s">
        <v>362</v>
      </c>
      <c r="R38" s="10" t="s">
        <v>363</v>
      </c>
      <c r="S38" s="10" t="s">
        <v>69</v>
      </c>
      <c r="T38" s="13" t="s">
        <v>70</v>
      </c>
      <c r="U38" s="13"/>
      <c r="V38" s="14"/>
    </row>
    <row r="39" customFormat="false" ht="35.05" hidden="false" customHeight="false" outlineLevel="0" collapsed="false">
      <c r="A39" s="10" t="s">
        <v>364</v>
      </c>
      <c r="B39" s="10" t="s">
        <v>54</v>
      </c>
      <c r="C39" s="10" t="s">
        <v>344</v>
      </c>
      <c r="D39" s="10" t="s">
        <v>56</v>
      </c>
      <c r="E39" s="10" t="n">
        <v>2</v>
      </c>
      <c r="F39" s="11" t="s">
        <v>365</v>
      </c>
      <c r="G39" s="10" t="s">
        <v>366</v>
      </c>
      <c r="H39" s="10" t="s">
        <v>367</v>
      </c>
      <c r="I39" s="10" t="s">
        <v>368</v>
      </c>
      <c r="J39" s="10" t="s">
        <v>369</v>
      </c>
      <c r="K39" s="10" t="s">
        <v>62</v>
      </c>
      <c r="L39" s="11" t="s">
        <v>370</v>
      </c>
      <c r="M39" s="10" t="s">
        <v>64</v>
      </c>
      <c r="N39" s="10"/>
      <c r="O39" s="10" t="s">
        <v>320</v>
      </c>
      <c r="P39" s="10" t="s">
        <v>66</v>
      </c>
      <c r="Q39" s="12" t="s">
        <v>371</v>
      </c>
      <c r="R39" s="10" t="s">
        <v>372</v>
      </c>
      <c r="S39" s="10" t="s">
        <v>69</v>
      </c>
      <c r="T39" s="13" t="s">
        <v>70</v>
      </c>
      <c r="U39" s="13"/>
      <c r="V39" s="14"/>
    </row>
    <row r="40" customFormat="false" ht="35.05" hidden="false" customHeight="false" outlineLevel="0" collapsed="false">
      <c r="A40" s="10" t="s">
        <v>373</v>
      </c>
      <c r="B40" s="10" t="s">
        <v>54</v>
      </c>
      <c r="C40" s="10" t="s">
        <v>344</v>
      </c>
      <c r="D40" s="10" t="s">
        <v>56</v>
      </c>
      <c r="E40" s="10" t="n">
        <v>2</v>
      </c>
      <c r="F40" s="11" t="s">
        <v>374</v>
      </c>
      <c r="G40" s="10" t="s">
        <v>375</v>
      </c>
      <c r="H40" s="10" t="s">
        <v>366</v>
      </c>
      <c r="I40" s="10" t="s">
        <v>376</v>
      </c>
      <c r="J40" s="10" t="s">
        <v>367</v>
      </c>
      <c r="K40" s="10" t="s">
        <v>62</v>
      </c>
      <c r="L40" s="11" t="s">
        <v>377</v>
      </c>
      <c r="M40" s="10" t="s">
        <v>64</v>
      </c>
      <c r="N40" s="10"/>
      <c r="O40" s="10" t="s">
        <v>361</v>
      </c>
      <c r="P40" s="10" t="s">
        <v>66</v>
      </c>
      <c r="Q40" s="12" t="s">
        <v>378</v>
      </c>
      <c r="R40" s="10" t="s">
        <v>379</v>
      </c>
      <c r="S40" s="10" t="s">
        <v>69</v>
      </c>
      <c r="T40" s="13" t="s">
        <v>70</v>
      </c>
      <c r="U40" s="13"/>
      <c r="V40" s="14"/>
    </row>
    <row r="41" customFormat="false" ht="35.05" hidden="false" customHeight="false" outlineLevel="0" collapsed="false">
      <c r="A41" s="10" t="s">
        <v>380</v>
      </c>
      <c r="B41" s="10" t="s">
        <v>54</v>
      </c>
      <c r="C41" s="10" t="s">
        <v>313</v>
      </c>
      <c r="D41" s="10" t="s">
        <v>56</v>
      </c>
      <c r="E41" s="10" t="n">
        <v>2</v>
      </c>
      <c r="F41" s="11" t="s">
        <v>381</v>
      </c>
      <c r="G41" s="10" t="s">
        <v>382</v>
      </c>
      <c r="H41" s="10" t="s">
        <v>383</v>
      </c>
      <c r="I41" s="10" t="s">
        <v>384</v>
      </c>
      <c r="J41" s="10" t="s">
        <v>385</v>
      </c>
      <c r="K41" s="10" t="s">
        <v>62</v>
      </c>
      <c r="L41" s="11" t="s">
        <v>386</v>
      </c>
      <c r="M41" s="10" t="s">
        <v>64</v>
      </c>
      <c r="N41" s="10"/>
      <c r="O41" s="10" t="s">
        <v>320</v>
      </c>
      <c r="P41" s="10" t="s">
        <v>66</v>
      </c>
      <c r="Q41" s="12" t="s">
        <v>387</v>
      </c>
      <c r="R41" s="10" t="s">
        <v>388</v>
      </c>
      <c r="S41" s="10" t="s">
        <v>69</v>
      </c>
      <c r="T41" s="13" t="s">
        <v>70</v>
      </c>
      <c r="U41" s="13"/>
      <c r="V41" s="14"/>
    </row>
    <row r="42" customFormat="false" ht="35.05" hidden="false" customHeight="false" outlineLevel="0" collapsed="false">
      <c r="A42" s="10" t="s">
        <v>389</v>
      </c>
      <c r="B42" s="10" t="s">
        <v>54</v>
      </c>
      <c r="C42" s="10" t="s">
        <v>354</v>
      </c>
      <c r="D42" s="10" t="s">
        <v>56</v>
      </c>
      <c r="E42" s="10" t="n">
        <v>2</v>
      </c>
      <c r="F42" s="11" t="s">
        <v>390</v>
      </c>
      <c r="G42" s="10" t="s">
        <v>391</v>
      </c>
      <c r="H42" s="10" t="s">
        <v>392</v>
      </c>
      <c r="I42" s="10" t="s">
        <v>393</v>
      </c>
      <c r="J42" s="10" t="s">
        <v>394</v>
      </c>
      <c r="K42" s="10" t="s">
        <v>62</v>
      </c>
      <c r="L42" s="11" t="s">
        <v>395</v>
      </c>
      <c r="M42" s="10" t="s">
        <v>64</v>
      </c>
      <c r="N42" s="10"/>
      <c r="O42" s="10" t="s">
        <v>320</v>
      </c>
      <c r="P42" s="10" t="s">
        <v>66</v>
      </c>
      <c r="Q42" s="12" t="s">
        <v>396</v>
      </c>
      <c r="R42" s="10" t="s">
        <v>397</v>
      </c>
      <c r="S42" s="10" t="s">
        <v>69</v>
      </c>
      <c r="T42" s="13" t="s">
        <v>70</v>
      </c>
      <c r="U42" s="13"/>
      <c r="V42" s="14" t="s">
        <v>398</v>
      </c>
    </row>
    <row r="43" customFormat="false" ht="35.05" hidden="false" customHeight="false" outlineLevel="0" collapsed="false">
      <c r="A43" s="10" t="s">
        <v>399</v>
      </c>
      <c r="B43" s="10" t="s">
        <v>54</v>
      </c>
      <c r="C43" s="10" t="s">
        <v>400</v>
      </c>
      <c r="D43" s="10" t="s">
        <v>56</v>
      </c>
      <c r="E43" s="10" t="n">
        <v>2</v>
      </c>
      <c r="F43" s="11" t="s">
        <v>401</v>
      </c>
      <c r="G43" s="10" t="s">
        <v>402</v>
      </c>
      <c r="H43" s="10" t="s">
        <v>403</v>
      </c>
      <c r="I43" s="10" t="s">
        <v>404</v>
      </c>
      <c r="J43" s="10" t="s">
        <v>405</v>
      </c>
      <c r="K43" s="10" t="s">
        <v>62</v>
      </c>
      <c r="L43" s="11" t="s">
        <v>406</v>
      </c>
      <c r="M43" s="10" t="s">
        <v>64</v>
      </c>
      <c r="N43" s="10"/>
      <c r="O43" s="10" t="s">
        <v>65</v>
      </c>
      <c r="P43" s="10" t="s">
        <v>66</v>
      </c>
      <c r="Q43" s="12" t="s">
        <v>407</v>
      </c>
      <c r="R43" s="10" t="s">
        <v>408</v>
      </c>
      <c r="S43" s="10" t="s">
        <v>69</v>
      </c>
      <c r="T43" s="13" t="s">
        <v>70</v>
      </c>
      <c r="U43" s="13"/>
      <c r="V43" s="14"/>
    </row>
    <row r="44" customFormat="false" ht="23.85" hidden="false" customHeight="false" outlineLevel="0" collapsed="false">
      <c r="A44" s="10" t="s">
        <v>409</v>
      </c>
      <c r="B44" s="10" t="s">
        <v>54</v>
      </c>
      <c r="C44" s="10" t="s">
        <v>400</v>
      </c>
      <c r="D44" s="10" t="s">
        <v>56</v>
      </c>
      <c r="E44" s="10" t="n">
        <v>2</v>
      </c>
      <c r="F44" s="11" t="s">
        <v>410</v>
      </c>
      <c r="G44" s="10" t="s">
        <v>411</v>
      </c>
      <c r="H44" s="10" t="s">
        <v>412</v>
      </c>
      <c r="I44" s="10" t="s">
        <v>413</v>
      </c>
      <c r="J44" s="10" t="s">
        <v>414</v>
      </c>
      <c r="K44" s="10" t="s">
        <v>62</v>
      </c>
      <c r="L44" s="11" t="s">
        <v>415</v>
      </c>
      <c r="M44" s="10" t="s">
        <v>64</v>
      </c>
      <c r="N44" s="10"/>
      <c r="O44" s="10" t="s">
        <v>65</v>
      </c>
      <c r="P44" s="10" t="s">
        <v>66</v>
      </c>
      <c r="Q44" s="12" t="s">
        <v>416</v>
      </c>
      <c r="R44" s="10" t="s">
        <v>417</v>
      </c>
      <c r="S44" s="10" t="s">
        <v>69</v>
      </c>
      <c r="T44" s="13" t="s">
        <v>70</v>
      </c>
      <c r="U44" s="13"/>
      <c r="V44" s="14" t="s">
        <v>418</v>
      </c>
    </row>
    <row r="45" customFormat="false" ht="23.85" hidden="false" customHeight="false" outlineLevel="0" collapsed="false">
      <c r="A45" s="10" t="s">
        <v>419</v>
      </c>
      <c r="B45" s="10" t="s">
        <v>54</v>
      </c>
      <c r="C45" s="10" t="s">
        <v>420</v>
      </c>
      <c r="D45" s="10" t="s">
        <v>56</v>
      </c>
      <c r="E45" s="10" t="n">
        <v>3</v>
      </c>
      <c r="F45" s="11" t="s">
        <v>421</v>
      </c>
      <c r="G45" s="10" t="s">
        <v>422</v>
      </c>
      <c r="H45" s="10" t="s">
        <v>423</v>
      </c>
      <c r="I45" s="10" t="s">
        <v>424</v>
      </c>
      <c r="J45" s="10" t="s">
        <v>425</v>
      </c>
      <c r="K45" s="10" t="s">
        <v>62</v>
      </c>
      <c r="L45" s="11" t="s">
        <v>426</v>
      </c>
      <c r="M45" s="10" t="s">
        <v>64</v>
      </c>
      <c r="N45" s="10"/>
      <c r="O45" s="10" t="s">
        <v>427</v>
      </c>
      <c r="P45" s="10" t="s">
        <v>66</v>
      </c>
      <c r="Q45" s="12" t="s">
        <v>428</v>
      </c>
      <c r="R45" s="10" t="s">
        <v>429</v>
      </c>
      <c r="S45" s="10" t="s">
        <v>69</v>
      </c>
      <c r="T45" s="13" t="s">
        <v>70</v>
      </c>
      <c r="U45" s="13"/>
      <c r="V45" s="14"/>
    </row>
    <row r="46" customFormat="false" ht="35.05" hidden="false" customHeight="false" outlineLevel="0" collapsed="false">
      <c r="A46" s="10" t="s">
        <v>430</v>
      </c>
      <c r="B46" s="10" t="s">
        <v>54</v>
      </c>
      <c r="C46" s="10" t="s">
        <v>420</v>
      </c>
      <c r="D46" s="10" t="s">
        <v>56</v>
      </c>
      <c r="E46" s="10" t="n">
        <v>3</v>
      </c>
      <c r="F46" s="11" t="s">
        <v>431</v>
      </c>
      <c r="G46" s="10" t="s">
        <v>432</v>
      </c>
      <c r="H46" s="10" t="s">
        <v>433</v>
      </c>
      <c r="I46" s="10" t="s">
        <v>434</v>
      </c>
      <c r="J46" s="10" t="s">
        <v>435</v>
      </c>
      <c r="K46" s="10" t="s">
        <v>62</v>
      </c>
      <c r="L46" s="11" t="s">
        <v>436</v>
      </c>
      <c r="M46" s="10" t="s">
        <v>64</v>
      </c>
      <c r="N46" s="10"/>
      <c r="O46" s="10" t="s">
        <v>361</v>
      </c>
      <c r="P46" s="10" t="s">
        <v>66</v>
      </c>
      <c r="Q46" s="12" t="s">
        <v>437</v>
      </c>
      <c r="R46" s="10" t="s">
        <v>438</v>
      </c>
      <c r="S46" s="10" t="s">
        <v>69</v>
      </c>
      <c r="T46" s="13" t="s">
        <v>70</v>
      </c>
      <c r="U46" s="13"/>
      <c r="V46" s="14"/>
    </row>
    <row r="47" customFormat="false" ht="35.05" hidden="false" customHeight="false" outlineLevel="0" collapsed="false">
      <c r="A47" s="10" t="s">
        <v>439</v>
      </c>
      <c r="B47" s="10" t="s">
        <v>54</v>
      </c>
      <c r="C47" s="10" t="s">
        <v>420</v>
      </c>
      <c r="D47" s="10" t="s">
        <v>56</v>
      </c>
      <c r="E47" s="10" t="n">
        <v>3</v>
      </c>
      <c r="F47" s="11" t="s">
        <v>440</v>
      </c>
      <c r="G47" s="10" t="s">
        <v>441</v>
      </c>
      <c r="H47" s="10" t="s">
        <v>442</v>
      </c>
      <c r="I47" s="10" t="s">
        <v>443</v>
      </c>
      <c r="J47" s="10" t="s">
        <v>444</v>
      </c>
      <c r="K47" s="10" t="s">
        <v>62</v>
      </c>
      <c r="L47" s="11" t="s">
        <v>445</v>
      </c>
      <c r="M47" s="10" t="s">
        <v>64</v>
      </c>
      <c r="N47" s="10"/>
      <c r="O47" s="10" t="s">
        <v>320</v>
      </c>
      <c r="P47" s="10" t="s">
        <v>66</v>
      </c>
      <c r="Q47" s="12" t="s">
        <v>446</v>
      </c>
      <c r="R47" s="10" t="s">
        <v>447</v>
      </c>
      <c r="S47" s="10" t="s">
        <v>69</v>
      </c>
      <c r="T47" s="13" t="s">
        <v>70</v>
      </c>
      <c r="U47" s="13"/>
      <c r="V47" s="14"/>
    </row>
    <row r="48" customFormat="false" ht="35.05" hidden="false" customHeight="false" outlineLevel="0" collapsed="false">
      <c r="A48" s="10" t="s">
        <v>448</v>
      </c>
      <c r="B48" s="10" t="s">
        <v>54</v>
      </c>
      <c r="C48" s="10" t="s">
        <v>313</v>
      </c>
      <c r="D48" s="10" t="s">
        <v>56</v>
      </c>
      <c r="E48" s="10" t="n">
        <v>3</v>
      </c>
      <c r="F48" s="11" t="s">
        <v>449</v>
      </c>
      <c r="G48" s="10" t="s">
        <v>392</v>
      </c>
      <c r="H48" s="10" t="s">
        <v>450</v>
      </c>
      <c r="I48" s="10" t="s">
        <v>451</v>
      </c>
      <c r="J48" s="10" t="s">
        <v>452</v>
      </c>
      <c r="K48" s="10" t="s">
        <v>62</v>
      </c>
      <c r="L48" s="11" t="s">
        <v>453</v>
      </c>
      <c r="M48" s="10" t="s">
        <v>64</v>
      </c>
      <c r="N48" s="10"/>
      <c r="O48" s="10" t="s">
        <v>331</v>
      </c>
      <c r="P48" s="10" t="s">
        <v>66</v>
      </c>
      <c r="Q48" s="12" t="s">
        <v>454</v>
      </c>
      <c r="R48" s="10" t="s">
        <v>455</v>
      </c>
      <c r="S48" s="10" t="s">
        <v>69</v>
      </c>
      <c r="T48" s="13" t="s">
        <v>70</v>
      </c>
      <c r="U48" s="13"/>
      <c r="V48" s="14" t="s">
        <v>456</v>
      </c>
    </row>
    <row r="49" customFormat="false" ht="23.85" hidden="false" customHeight="false" outlineLevel="0" collapsed="false">
      <c r="A49" s="10" t="s">
        <v>457</v>
      </c>
      <c r="B49" s="10" t="s">
        <v>54</v>
      </c>
      <c r="C49" s="10" t="s">
        <v>313</v>
      </c>
      <c r="D49" s="10" t="s">
        <v>56</v>
      </c>
      <c r="E49" s="10" t="n">
        <v>3</v>
      </c>
      <c r="F49" s="11" t="s">
        <v>458</v>
      </c>
      <c r="G49" s="10" t="s">
        <v>459</v>
      </c>
      <c r="H49" s="10" t="s">
        <v>460</v>
      </c>
      <c r="I49" s="10" t="s">
        <v>461</v>
      </c>
      <c r="J49" s="10" t="s">
        <v>462</v>
      </c>
      <c r="K49" s="10" t="s">
        <v>62</v>
      </c>
      <c r="L49" s="11" t="s">
        <v>463</v>
      </c>
      <c r="M49" s="10" t="s">
        <v>64</v>
      </c>
      <c r="N49" s="10"/>
      <c r="O49" s="10" t="s">
        <v>361</v>
      </c>
      <c r="P49" s="10" t="s">
        <v>66</v>
      </c>
      <c r="Q49" s="12" t="s">
        <v>464</v>
      </c>
      <c r="R49" s="10" t="s">
        <v>465</v>
      </c>
      <c r="S49" s="10" t="s">
        <v>69</v>
      </c>
      <c r="T49" s="13" t="s">
        <v>70</v>
      </c>
      <c r="U49" s="13"/>
      <c r="V49" s="14"/>
    </row>
    <row r="50" customFormat="false" ht="23.85" hidden="false" customHeight="false" outlineLevel="0" collapsed="false">
      <c r="A50" s="10" t="s">
        <v>466</v>
      </c>
      <c r="B50" s="10" t="s">
        <v>54</v>
      </c>
      <c r="C50" s="10" t="s">
        <v>324</v>
      </c>
      <c r="D50" s="10" t="s">
        <v>56</v>
      </c>
      <c r="E50" s="10" t="n">
        <v>3</v>
      </c>
      <c r="F50" s="11" t="s">
        <v>467</v>
      </c>
      <c r="G50" s="10" t="s">
        <v>468</v>
      </c>
      <c r="H50" s="10" t="s">
        <v>469</v>
      </c>
      <c r="I50" s="10" t="s">
        <v>470</v>
      </c>
      <c r="J50" s="10" t="s">
        <v>471</v>
      </c>
      <c r="K50" s="10" t="s">
        <v>62</v>
      </c>
      <c r="L50" s="11" t="s">
        <v>472</v>
      </c>
      <c r="M50" s="10" t="s">
        <v>64</v>
      </c>
      <c r="N50" s="10"/>
      <c r="O50" s="10" t="s">
        <v>331</v>
      </c>
      <c r="P50" s="10" t="s">
        <v>66</v>
      </c>
      <c r="Q50" s="12" t="s">
        <v>473</v>
      </c>
      <c r="R50" s="10" t="s">
        <v>474</v>
      </c>
      <c r="S50" s="10" t="s">
        <v>69</v>
      </c>
      <c r="T50" s="13" t="s">
        <v>70</v>
      </c>
      <c r="U50" s="13"/>
      <c r="V50" s="14"/>
    </row>
    <row r="51" customFormat="false" ht="23.85" hidden="false" customHeight="false" outlineLevel="0" collapsed="false">
      <c r="A51" s="10" t="s">
        <v>475</v>
      </c>
      <c r="B51" s="10" t="s">
        <v>54</v>
      </c>
      <c r="C51" s="10" t="s">
        <v>324</v>
      </c>
      <c r="D51" s="10" t="s">
        <v>56</v>
      </c>
      <c r="E51" s="10" t="n">
        <v>3</v>
      </c>
      <c r="F51" s="11" t="s">
        <v>476</v>
      </c>
      <c r="G51" s="10" t="s">
        <v>477</v>
      </c>
      <c r="H51" s="10" t="s">
        <v>478</v>
      </c>
      <c r="I51" s="10" t="s">
        <v>479</v>
      </c>
      <c r="J51" s="10" t="s">
        <v>480</v>
      </c>
      <c r="K51" s="10" t="s">
        <v>62</v>
      </c>
      <c r="L51" s="11" t="s">
        <v>481</v>
      </c>
      <c r="M51" s="10" t="s">
        <v>64</v>
      </c>
      <c r="N51" s="10"/>
      <c r="O51" s="10" t="s">
        <v>331</v>
      </c>
      <c r="P51" s="10" t="s">
        <v>66</v>
      </c>
      <c r="Q51" s="12" t="s">
        <v>482</v>
      </c>
      <c r="R51" s="10" t="s">
        <v>483</v>
      </c>
      <c r="S51" s="10" t="s">
        <v>69</v>
      </c>
      <c r="T51" s="13" t="s">
        <v>70</v>
      </c>
      <c r="U51" s="13"/>
      <c r="V51" s="14"/>
    </row>
    <row r="52" customFormat="false" ht="35.05" hidden="false" customHeight="false" outlineLevel="0" collapsed="false">
      <c r="A52" s="10" t="s">
        <v>484</v>
      </c>
      <c r="B52" s="10" t="s">
        <v>54</v>
      </c>
      <c r="C52" s="10" t="s">
        <v>485</v>
      </c>
      <c r="D52" s="10" t="s">
        <v>56</v>
      </c>
      <c r="E52" s="10" t="n">
        <v>3</v>
      </c>
      <c r="F52" s="11" t="s">
        <v>486</v>
      </c>
      <c r="G52" s="10" t="s">
        <v>487</v>
      </c>
      <c r="H52" s="10" t="s">
        <v>488</v>
      </c>
      <c r="I52" s="10" t="s">
        <v>489</v>
      </c>
      <c r="J52" s="10" t="s">
        <v>490</v>
      </c>
      <c r="K52" s="10" t="s">
        <v>62</v>
      </c>
      <c r="L52" s="11" t="s">
        <v>491</v>
      </c>
      <c r="M52" s="10" t="s">
        <v>64</v>
      </c>
      <c r="N52" s="10"/>
      <c r="O52" s="10" t="s">
        <v>65</v>
      </c>
      <c r="P52" s="10" t="s">
        <v>66</v>
      </c>
      <c r="Q52" s="12" t="s">
        <v>492</v>
      </c>
      <c r="R52" s="10" t="s">
        <v>493</v>
      </c>
      <c r="S52" s="10" t="s">
        <v>69</v>
      </c>
      <c r="T52" s="13" t="s">
        <v>70</v>
      </c>
      <c r="U52" s="13"/>
      <c r="V52" s="14" t="s">
        <v>494</v>
      </c>
    </row>
    <row r="53" customFormat="false" ht="23.85" hidden="false" customHeight="false" outlineLevel="0" collapsed="false">
      <c r="A53" s="10" t="s">
        <v>495</v>
      </c>
      <c r="B53" s="10" t="s">
        <v>54</v>
      </c>
      <c r="C53" s="10" t="s">
        <v>485</v>
      </c>
      <c r="D53" s="10" t="s">
        <v>56</v>
      </c>
      <c r="E53" s="10" t="n">
        <v>3</v>
      </c>
      <c r="F53" s="11" t="s">
        <v>496</v>
      </c>
      <c r="G53" s="10" t="s">
        <v>497</v>
      </c>
      <c r="H53" s="10" t="s">
        <v>498</v>
      </c>
      <c r="I53" s="10" t="s">
        <v>499</v>
      </c>
      <c r="J53" s="10" t="s">
        <v>500</v>
      </c>
      <c r="K53" s="10" t="s">
        <v>62</v>
      </c>
      <c r="L53" s="11" t="s">
        <v>501</v>
      </c>
      <c r="M53" s="10" t="s">
        <v>64</v>
      </c>
      <c r="N53" s="10"/>
      <c r="O53" s="10" t="s">
        <v>361</v>
      </c>
      <c r="P53" s="10" t="s">
        <v>66</v>
      </c>
      <c r="Q53" s="12" t="s">
        <v>502</v>
      </c>
      <c r="R53" s="10" t="s">
        <v>503</v>
      </c>
      <c r="S53" s="10" t="s">
        <v>69</v>
      </c>
      <c r="T53" s="13" t="s">
        <v>70</v>
      </c>
      <c r="U53" s="13"/>
      <c r="V53" s="14"/>
    </row>
    <row r="54" customFormat="false" ht="35.05" hidden="false" customHeight="false" outlineLevel="0" collapsed="false">
      <c r="A54" s="10" t="s">
        <v>504</v>
      </c>
      <c r="B54" s="10" t="s">
        <v>54</v>
      </c>
      <c r="C54" s="10" t="s">
        <v>354</v>
      </c>
      <c r="D54" s="10" t="s">
        <v>213</v>
      </c>
      <c r="E54" s="10" t="n">
        <v>3</v>
      </c>
      <c r="F54" s="11" t="s">
        <v>505</v>
      </c>
      <c r="G54" s="10"/>
      <c r="H54" s="10"/>
      <c r="I54" s="10"/>
      <c r="J54" s="10"/>
      <c r="K54" s="10" t="s">
        <v>506</v>
      </c>
      <c r="L54" s="11" t="s">
        <v>507</v>
      </c>
      <c r="M54" s="10" t="s">
        <v>64</v>
      </c>
      <c r="N54" s="10"/>
      <c r="O54" s="10" t="s">
        <v>320</v>
      </c>
      <c r="P54" s="10" t="s">
        <v>66</v>
      </c>
      <c r="Q54" s="12" t="s">
        <v>508</v>
      </c>
      <c r="R54" s="10" t="s">
        <v>509</v>
      </c>
      <c r="S54" s="10" t="s">
        <v>69</v>
      </c>
      <c r="T54" s="13" t="s">
        <v>70</v>
      </c>
      <c r="U54" s="13"/>
      <c r="V54" s="14" t="s">
        <v>510</v>
      </c>
    </row>
    <row r="55" customFormat="false" ht="23.85" hidden="false" customHeight="false" outlineLevel="0" collapsed="false">
      <c r="A55" s="10" t="s">
        <v>511</v>
      </c>
      <c r="B55" s="10" t="s">
        <v>54</v>
      </c>
      <c r="C55" s="10" t="s">
        <v>420</v>
      </c>
      <c r="D55" s="10" t="s">
        <v>56</v>
      </c>
      <c r="E55" s="10" t="n">
        <v>4</v>
      </c>
      <c r="F55" s="11" t="s">
        <v>512</v>
      </c>
      <c r="G55" s="10" t="s">
        <v>513</v>
      </c>
      <c r="H55" s="10" t="s">
        <v>514</v>
      </c>
      <c r="I55" s="10" t="s">
        <v>515</v>
      </c>
      <c r="J55" s="10" t="s">
        <v>516</v>
      </c>
      <c r="K55" s="10" t="s">
        <v>62</v>
      </c>
      <c r="L55" s="11" t="s">
        <v>517</v>
      </c>
      <c r="M55" s="10" t="s">
        <v>64</v>
      </c>
      <c r="N55" s="10"/>
      <c r="O55" s="10" t="s">
        <v>65</v>
      </c>
      <c r="P55" s="10" t="s">
        <v>66</v>
      </c>
      <c r="Q55" s="12" t="s">
        <v>518</v>
      </c>
      <c r="R55" s="10" t="s">
        <v>519</v>
      </c>
      <c r="S55" s="10" t="s">
        <v>69</v>
      </c>
      <c r="T55" s="13" t="s">
        <v>70</v>
      </c>
      <c r="U55" s="13"/>
      <c r="V55" s="14"/>
    </row>
    <row r="56" customFormat="false" ht="35.05" hidden="false" customHeight="false" outlineLevel="0" collapsed="false">
      <c r="A56" s="10" t="s">
        <v>520</v>
      </c>
      <c r="B56" s="10" t="s">
        <v>54</v>
      </c>
      <c r="C56" s="10" t="s">
        <v>313</v>
      </c>
      <c r="D56" s="10" t="s">
        <v>56</v>
      </c>
      <c r="E56" s="10" t="n">
        <v>4</v>
      </c>
      <c r="F56" s="11" t="s">
        <v>521</v>
      </c>
      <c r="G56" s="10" t="s">
        <v>522</v>
      </c>
      <c r="H56" s="10" t="s">
        <v>523</v>
      </c>
      <c r="I56" s="10" t="s">
        <v>524</v>
      </c>
      <c r="J56" s="10" t="s">
        <v>525</v>
      </c>
      <c r="K56" s="10" t="s">
        <v>62</v>
      </c>
      <c r="L56" s="11" t="s">
        <v>526</v>
      </c>
      <c r="M56" s="10" t="s">
        <v>64</v>
      </c>
      <c r="N56" s="10"/>
      <c r="O56" s="10" t="s">
        <v>65</v>
      </c>
      <c r="P56" s="10" t="s">
        <v>66</v>
      </c>
      <c r="Q56" s="12" t="s">
        <v>527</v>
      </c>
      <c r="R56" s="10" t="s">
        <v>528</v>
      </c>
      <c r="S56" s="10" t="s">
        <v>69</v>
      </c>
      <c r="T56" s="13" t="s">
        <v>70</v>
      </c>
      <c r="U56" s="13"/>
      <c r="V56" s="14"/>
    </row>
    <row r="57" customFormat="false" ht="46.25" hidden="false" customHeight="false" outlineLevel="0" collapsed="false">
      <c r="A57" s="10" t="s">
        <v>529</v>
      </c>
      <c r="B57" s="10" t="s">
        <v>54</v>
      </c>
      <c r="C57" s="10" t="s">
        <v>530</v>
      </c>
      <c r="D57" s="10" t="s">
        <v>56</v>
      </c>
      <c r="E57" s="10" t="n">
        <v>4</v>
      </c>
      <c r="F57" s="11" t="s">
        <v>531</v>
      </c>
      <c r="G57" s="10" t="s">
        <v>532</v>
      </c>
      <c r="H57" s="10" t="s">
        <v>533</v>
      </c>
      <c r="I57" s="10" t="s">
        <v>534</v>
      </c>
      <c r="J57" s="10" t="s">
        <v>535</v>
      </c>
      <c r="K57" s="10" t="s">
        <v>62</v>
      </c>
      <c r="L57" s="11" t="s">
        <v>536</v>
      </c>
      <c r="M57" s="10" t="s">
        <v>64</v>
      </c>
      <c r="N57" s="10"/>
      <c r="O57" s="10" t="s">
        <v>320</v>
      </c>
      <c r="P57" s="10" t="s">
        <v>66</v>
      </c>
      <c r="Q57" s="12" t="s">
        <v>537</v>
      </c>
      <c r="R57" s="10" t="s">
        <v>538</v>
      </c>
      <c r="S57" s="10" t="s">
        <v>69</v>
      </c>
      <c r="T57" s="13" t="s">
        <v>70</v>
      </c>
      <c r="U57" s="13"/>
      <c r="V57" s="14" t="s">
        <v>539</v>
      </c>
    </row>
    <row r="58" customFormat="false" ht="35.05" hidden="false" customHeight="false" outlineLevel="0" collapsed="false">
      <c r="A58" s="10" t="s">
        <v>540</v>
      </c>
      <c r="B58" s="10" t="s">
        <v>54</v>
      </c>
      <c r="C58" s="10" t="s">
        <v>530</v>
      </c>
      <c r="D58" s="10" t="s">
        <v>56</v>
      </c>
      <c r="E58" s="10" t="n">
        <v>4</v>
      </c>
      <c r="F58" s="11" t="s">
        <v>541</v>
      </c>
      <c r="G58" s="10" t="s">
        <v>542</v>
      </c>
      <c r="H58" s="10" t="s">
        <v>543</v>
      </c>
      <c r="I58" s="10" t="s">
        <v>544</v>
      </c>
      <c r="J58" s="10" t="s">
        <v>545</v>
      </c>
      <c r="K58" s="10" t="s">
        <v>62</v>
      </c>
      <c r="L58" s="11" t="s">
        <v>546</v>
      </c>
      <c r="M58" s="10" t="s">
        <v>64</v>
      </c>
      <c r="N58" s="10"/>
      <c r="O58" s="10" t="s">
        <v>320</v>
      </c>
      <c r="P58" s="10" t="s">
        <v>66</v>
      </c>
      <c r="Q58" s="12" t="s">
        <v>547</v>
      </c>
      <c r="R58" s="10" t="s">
        <v>548</v>
      </c>
      <c r="S58" s="10" t="s">
        <v>69</v>
      </c>
      <c r="T58" s="13" t="s">
        <v>70</v>
      </c>
      <c r="U58" s="13"/>
      <c r="V58" s="14"/>
    </row>
    <row r="59" customFormat="false" ht="35.05" hidden="false" customHeight="false" outlineLevel="0" collapsed="false">
      <c r="A59" s="10" t="s">
        <v>549</v>
      </c>
      <c r="B59" s="10" t="s">
        <v>54</v>
      </c>
      <c r="C59" s="10" t="s">
        <v>485</v>
      </c>
      <c r="D59" s="10" t="s">
        <v>56</v>
      </c>
      <c r="E59" s="10" t="n">
        <v>4</v>
      </c>
      <c r="F59" s="11" t="s">
        <v>550</v>
      </c>
      <c r="G59" s="10" t="s">
        <v>551</v>
      </c>
      <c r="H59" s="10" t="s">
        <v>552</v>
      </c>
      <c r="I59" s="10" t="s">
        <v>553</v>
      </c>
      <c r="J59" s="10" t="s">
        <v>554</v>
      </c>
      <c r="K59" s="10" t="s">
        <v>62</v>
      </c>
      <c r="L59" s="11" t="s">
        <v>555</v>
      </c>
      <c r="M59" s="10" t="s">
        <v>64</v>
      </c>
      <c r="N59" s="10"/>
      <c r="O59" s="10" t="s">
        <v>320</v>
      </c>
      <c r="P59" s="10" t="s">
        <v>66</v>
      </c>
      <c r="Q59" s="12" t="s">
        <v>556</v>
      </c>
      <c r="R59" s="10" t="s">
        <v>557</v>
      </c>
      <c r="S59" s="10" t="s">
        <v>69</v>
      </c>
      <c r="T59" s="13" t="s">
        <v>70</v>
      </c>
      <c r="U59" s="13"/>
      <c r="V59" s="14"/>
    </row>
    <row r="60" customFormat="false" ht="23.85" hidden="false" customHeight="false" outlineLevel="0" collapsed="false">
      <c r="A60" s="10" t="s">
        <v>558</v>
      </c>
      <c r="B60" s="10" t="s">
        <v>54</v>
      </c>
      <c r="C60" s="10" t="s">
        <v>324</v>
      </c>
      <c r="D60" s="10" t="s">
        <v>56</v>
      </c>
      <c r="E60" s="10" t="n">
        <v>4</v>
      </c>
      <c r="F60" s="11" t="s">
        <v>559</v>
      </c>
      <c r="G60" s="10" t="s">
        <v>478</v>
      </c>
      <c r="H60" s="10" t="s">
        <v>477</v>
      </c>
      <c r="I60" s="10" t="s">
        <v>479</v>
      </c>
      <c r="J60" s="10" t="s">
        <v>560</v>
      </c>
      <c r="K60" s="10" t="s">
        <v>62</v>
      </c>
      <c r="L60" s="11" t="s">
        <v>561</v>
      </c>
      <c r="M60" s="10" t="s">
        <v>64</v>
      </c>
      <c r="N60" s="10"/>
      <c r="O60" s="10" t="s">
        <v>427</v>
      </c>
      <c r="P60" s="10" t="s">
        <v>66</v>
      </c>
      <c r="Q60" s="12" t="s">
        <v>562</v>
      </c>
      <c r="R60" s="10" t="s">
        <v>563</v>
      </c>
      <c r="S60" s="10" t="s">
        <v>69</v>
      </c>
      <c r="T60" s="13" t="s">
        <v>70</v>
      </c>
      <c r="U60" s="13"/>
      <c r="V60" s="14"/>
    </row>
    <row r="61" customFormat="false" ht="35.05" hidden="false" customHeight="false" outlineLevel="0" collapsed="false">
      <c r="A61" s="10" t="s">
        <v>564</v>
      </c>
      <c r="B61" s="10" t="s">
        <v>54</v>
      </c>
      <c r="C61" s="10" t="s">
        <v>420</v>
      </c>
      <c r="D61" s="10" t="s">
        <v>56</v>
      </c>
      <c r="E61" s="10" t="n">
        <v>5</v>
      </c>
      <c r="F61" s="11" t="s">
        <v>565</v>
      </c>
      <c r="G61" s="10" t="s">
        <v>566</v>
      </c>
      <c r="H61" s="10" t="s">
        <v>567</v>
      </c>
      <c r="I61" s="10" t="s">
        <v>568</v>
      </c>
      <c r="J61" s="10" t="s">
        <v>569</v>
      </c>
      <c r="K61" s="10" t="s">
        <v>62</v>
      </c>
      <c r="L61" s="11" t="s">
        <v>570</v>
      </c>
      <c r="M61" s="10" t="s">
        <v>64</v>
      </c>
      <c r="N61" s="10"/>
      <c r="O61" s="10" t="s">
        <v>361</v>
      </c>
      <c r="P61" s="10" t="s">
        <v>66</v>
      </c>
      <c r="Q61" s="12" t="s">
        <v>571</v>
      </c>
      <c r="R61" s="10" t="s">
        <v>572</v>
      </c>
      <c r="S61" s="10" t="s">
        <v>69</v>
      </c>
      <c r="T61" s="13" t="s">
        <v>70</v>
      </c>
      <c r="U61" s="13"/>
      <c r="V61" s="14"/>
    </row>
    <row r="62" customFormat="false" ht="23.85" hidden="false" customHeight="false" outlineLevel="0" collapsed="false">
      <c r="A62" s="10" t="s">
        <v>573</v>
      </c>
      <c r="B62" s="10" t="s">
        <v>54</v>
      </c>
      <c r="C62" s="10" t="s">
        <v>313</v>
      </c>
      <c r="D62" s="10" t="s">
        <v>213</v>
      </c>
      <c r="E62" s="10" t="n">
        <v>5</v>
      </c>
      <c r="F62" s="11" t="s">
        <v>574</v>
      </c>
      <c r="G62" s="10"/>
      <c r="H62" s="10"/>
      <c r="I62" s="10"/>
      <c r="J62" s="10"/>
      <c r="K62" s="10" t="s">
        <v>575</v>
      </c>
      <c r="L62" s="11" t="s">
        <v>576</v>
      </c>
      <c r="M62" s="10" t="s">
        <v>64</v>
      </c>
      <c r="N62" s="10" t="s">
        <v>217</v>
      </c>
      <c r="O62" s="10" t="s">
        <v>65</v>
      </c>
      <c r="P62" s="10" t="s">
        <v>66</v>
      </c>
      <c r="Q62" s="12" t="s">
        <v>577</v>
      </c>
      <c r="R62" s="10" t="s">
        <v>578</v>
      </c>
      <c r="S62" s="10" t="s">
        <v>69</v>
      </c>
      <c r="T62" s="13" t="s">
        <v>70</v>
      </c>
      <c r="U62" s="13"/>
      <c r="V62" s="14"/>
    </row>
    <row r="63" customFormat="false" ht="23.85" hidden="false" customHeight="false" outlineLevel="0" collapsed="false">
      <c r="A63" s="10" t="s">
        <v>579</v>
      </c>
      <c r="B63" s="10" t="s">
        <v>54</v>
      </c>
      <c r="C63" s="10" t="s">
        <v>313</v>
      </c>
      <c r="D63" s="10" t="s">
        <v>213</v>
      </c>
      <c r="E63" s="10" t="n">
        <v>5</v>
      </c>
      <c r="F63" s="11" t="s">
        <v>580</v>
      </c>
      <c r="G63" s="10"/>
      <c r="H63" s="10"/>
      <c r="I63" s="10"/>
      <c r="J63" s="10"/>
      <c r="K63" s="10" t="s">
        <v>581</v>
      </c>
      <c r="L63" s="11" t="s">
        <v>582</v>
      </c>
      <c r="M63" s="10" t="s">
        <v>64</v>
      </c>
      <c r="N63" s="10"/>
      <c r="O63" s="10" t="s">
        <v>65</v>
      </c>
      <c r="P63" s="10" t="s">
        <v>66</v>
      </c>
      <c r="Q63" s="12" t="s">
        <v>583</v>
      </c>
      <c r="R63" s="10" t="s">
        <v>584</v>
      </c>
      <c r="S63" s="10" t="s">
        <v>69</v>
      </c>
      <c r="T63" s="13" t="s">
        <v>70</v>
      </c>
      <c r="U63" s="13"/>
      <c r="V63" s="14"/>
    </row>
    <row r="64" customFormat="false" ht="23.85" hidden="false" customHeight="false" outlineLevel="0" collapsed="false">
      <c r="A64" s="10" t="s">
        <v>585</v>
      </c>
      <c r="B64" s="10" t="s">
        <v>54</v>
      </c>
      <c r="C64" s="10" t="s">
        <v>400</v>
      </c>
      <c r="D64" s="10" t="s">
        <v>56</v>
      </c>
      <c r="E64" s="10" t="n">
        <v>5</v>
      </c>
      <c r="F64" s="11" t="s">
        <v>586</v>
      </c>
      <c r="G64" s="10" t="s">
        <v>587</v>
      </c>
      <c r="H64" s="10" t="s">
        <v>588</v>
      </c>
      <c r="I64" s="10" t="s">
        <v>589</v>
      </c>
      <c r="J64" s="10" t="s">
        <v>590</v>
      </c>
      <c r="K64" s="10" t="s">
        <v>62</v>
      </c>
      <c r="L64" s="11" t="s">
        <v>591</v>
      </c>
      <c r="M64" s="10" t="s">
        <v>64</v>
      </c>
      <c r="N64" s="10"/>
      <c r="O64" s="10" t="s">
        <v>320</v>
      </c>
      <c r="P64" s="10" t="s">
        <v>66</v>
      </c>
      <c r="Q64" s="12" t="s">
        <v>592</v>
      </c>
      <c r="R64" s="10" t="s">
        <v>593</v>
      </c>
      <c r="S64" s="10" t="s">
        <v>69</v>
      </c>
      <c r="T64" s="13" t="s">
        <v>70</v>
      </c>
      <c r="U64" s="13"/>
      <c r="V64" s="14"/>
    </row>
    <row r="65" customFormat="false" ht="46.25" hidden="false" customHeight="false" outlineLevel="0" collapsed="false">
      <c r="A65" s="10" t="s">
        <v>594</v>
      </c>
      <c r="B65" s="10" t="s">
        <v>54</v>
      </c>
      <c r="C65" s="10" t="s">
        <v>400</v>
      </c>
      <c r="D65" s="10" t="s">
        <v>56</v>
      </c>
      <c r="E65" s="10" t="n">
        <v>5</v>
      </c>
      <c r="F65" s="11" t="s">
        <v>595</v>
      </c>
      <c r="G65" s="10" t="s">
        <v>596</v>
      </c>
      <c r="H65" s="10" t="s">
        <v>597</v>
      </c>
      <c r="I65" s="10" t="s">
        <v>598</v>
      </c>
      <c r="J65" s="10" t="s">
        <v>488</v>
      </c>
      <c r="K65" s="10" t="s">
        <v>62</v>
      </c>
      <c r="L65" s="11" t="s">
        <v>599</v>
      </c>
      <c r="M65" s="10" t="s">
        <v>64</v>
      </c>
      <c r="N65" s="10"/>
      <c r="O65" s="10" t="s">
        <v>320</v>
      </c>
      <c r="P65" s="10" t="s">
        <v>66</v>
      </c>
      <c r="Q65" s="12" t="s">
        <v>600</v>
      </c>
      <c r="R65" s="10" t="s">
        <v>601</v>
      </c>
      <c r="S65" s="10" t="s">
        <v>69</v>
      </c>
      <c r="T65" s="13" t="s">
        <v>70</v>
      </c>
      <c r="U65" s="13"/>
      <c r="V65" s="14" t="s">
        <v>602</v>
      </c>
    </row>
  </sheetData>
  <autoFilter ref="A1:V65"/>
  <dataValidations count="1">
    <dataValidation allowBlank="true" errorStyle="stop" operator="between" showDropDown="false" showErrorMessage="false" showInputMessage="false" sqref="T2:T1065" type="list">
      <formula1>"to check,approved,fix needed,rejected"</formula1>
      <formula2>0</formula2>
    </dataValidation>
  </dataValidations>
  <hyperlinks>
    <hyperlink ref="Q2" r:id="rId1" display="https://sportsvillagesquare.com/?p=79212"/>
    <hyperlink ref="Q3" r:id="rId2" display="https://archivi.ng/the-archivist/stories/issue-4/green-eagles-of-nigeria-at-afcon-1980"/>
    <hyperlink ref="Q4" r:id="rId3" display="https://www.aljazeera.com/sports/2013/2/11/nigeria-triumphs-at-africa-cup-of-nations"/>
    <hyperlink ref="Q5" r:id="rId4" display="https://inside.fifa.com/en/news/worldcupathome-nigeria-italy-1994-baggio-comeback"/>
    <hyperlink ref="Q6" r:id="rId5" display="https://en.wikipedia.org/wiki/Jay-Jay_Okocha"/>
    <hyperlink ref="Q7" r:id="rId6" display="https://www.goal.com/en-us/news/nigerias-first-ever-world-cup-goal-and-the-five-most/blt4192f0869e6dcbd2"/>
    <hyperlink ref="Q8" r:id="rId7" display="https://www.legit.ng/sports/football/1690304-arsenal-legend-kanu-nwankwo-papilo-sends-strong-message-super-eagles-uganda-clash/"/>
    <hyperlink ref="Q9" r:id="rId8" display="https://www.aljazeera.com/sports/2013/2/11/nigeria-triumphs-at-africa-cup-of-nations"/>
    <hyperlink ref="Q10" r:id="rId9" display="https://sportsvillagesquare.com/2020/05/02/ex-super-eagles-manager-clemens-westerhof-clocks-80"/>
    <hyperlink ref="Q11" r:id="rId10" display="https://www.thescore.com/news/1552695"/>
    <hyperlink ref="Q12" r:id="rId11" display="https://www.aljazeera.com/sports/2018/1/23/stephen-keshi-why-google-honours-him-today"/>
    <hyperlink ref="Q13" r:id="rId12" display="https://www.aljazeera.com/sports/2013/2/11/nigeria-triumphs-at-africa-cup-of-nations"/>
    <hyperlink ref="Q14" r:id="rId13" display="https://www.thisdaylive.com/2022/10/01/emmanuel-amuneke-mission-to-zambia/"/>
    <hyperlink ref="Q15" r:id="rId14" display="https://www.planetfootball.com/nostalgia/jay-jay-okocha-nigeria-1998-world-cup-france-spain-skilla-assists"/>
    <hyperlink ref="Q16" r:id="rId15" display="https://inside.fifa.com/en/news/worldcupathome-nigeria-italy-1994-baggio-comeback"/>
    <hyperlink ref="Q17" r:id="rId16" display="https://www.cbsnews.com/amp/news/world-cup-2014-france-wins-a-deceptively-close-2-0-game-against-nigeria"/>
    <hyperlink ref="Q18" r:id="rId17" display="https://en.wikipedia.org/wiki/Jay-Jay_Okocha"/>
    <hyperlink ref="Q19" r:id="rId18" display="https://www.cafonline.com/caf-africa-cup-of-nations/news/totalenergies-caf-afcon-cote-d-ivoire-2023-awards/"/>
    <hyperlink ref="Q20" r:id="rId19" display="https://www.aljazeera.com/sports/2025/11/16/dr-congo-shock-nigeria-on-penalties-to-win-african-world-cup-playoffs"/>
    <hyperlink ref="Q21" r:id="rId20" display="https://www.arise.tv/nff-salutes-ahmed-musas-legacy-as-nigerias-most-capped-player-retires/"/>
    <hyperlink ref="Q22" r:id="rId21" display="https://archivi.ng/the-archivist/stories/issue-4/green-eagles-of-nigeria-at-afcon-1980"/>
    <hyperlink ref="Q23" r:id="rId22" display="https://nannews.ng/nigeria-lost-a-true-icon-in-chukwu-nsc-d-g/"/>
    <hyperlink ref="Q24" r:id="rId23" display="https://www.foxnews.com/sports/joseph-yobo-announces-international-retirement-after-scoring-own-goal-in-100th-cap-for-nigeria.amp"/>
    <hyperlink ref="Q25" r:id="rId24" display="https://www.beinsports.com/en-mena/articles-video/2018-fifa-world-cup-nigeria-beat-iceland-2-0-"/>
    <hyperlink ref="Q26" r:id="rId25" display="https://thewillnews.com/nigeria-register-biggest-ever-win-in-10-nil-thrashing-of-sao-tome/"/>
    <hyperlink ref="Q27" r:id="rId26" display="https://businessday.ng/news/article/rashidi-yekini-10-things-to-know-about-the-iconic-striker/"/>
    <hyperlink ref="Q28" r:id="rId27" display="https://www.planetfootball.com/nostalgia/jay-jay-okocha-nigeria-1998-world-cup-france-spain-skilla-assists"/>
    <hyperlink ref="Q29" r:id="rId28" display="https://sportsvillagesquare.com/2019/08/15/nigeria-burkina-faso-african-games-match-marks-70-years-since-uk-tourists-ventured-out/"/>
    <hyperlink ref="Q30" r:id="rId29" display="https://soccernet.ng/2016/02/julius-aghahowa-5-things-super-eagles.html"/>
    <hyperlink ref="Q31" r:id="rId30" display="https://soccernet.ng/2026/09/super-eagles-morocco-fifa-guinea-bissau.html"/>
    <hyperlink ref="Q32" r:id="rId31" display="https://www.asmonaco.com/en/news/victor-ikpeba-certain-beat-my-record"/>
    <hyperlink ref="Q33" r:id="rId32" display="https://archivi.ng/the-archivist/stories/issue-4/green-eagles-of-nigeria-at-afcon-1980"/>
    <hyperlink ref="Q34" r:id="rId33" display="https://www.nba.com/news/history-nba-legend-hakeem-olajuwon"/>
    <hyperlink ref="Q35" r:id="rId34" display="https://www.enca.com/lifestyle/eid-festivities-north-nigeria-make-unesco-heritage-list"/>
    <hyperlink ref="Q36" r:id="rId35" display="https://www.aljazeera.com/gallery/2026/2/15/nigerias-argungu-fishing-contest-marks-return-after-years-of-pause"/>
    <hyperlink ref="Q37" r:id="rId36" display="https://www.africanews.com/amp/2021/04/26/african-born-champions-take-over-ufc-by-storm/"/>
    <hyperlink ref="Q38" r:id="rId37" display="https://en.wikipedia.org/wiki/World_Scrabble_Championship_2015"/>
    <hyperlink ref="Q39" r:id="rId38" display="https://www.ufc.com/athlete/israel-adesanya"/>
    <hyperlink ref="Q40" r:id="rId39" display="https://www.ufc.com/athlete/kamaru-usman"/>
    <hyperlink ref="Q41" r:id="rId40" display="https://andscape.com/features/bucks-giannis-antetokounmpo-greek-freak-wants-to-go-back-to-his-nigerian-roots"/>
    <hyperlink ref="Q42" r:id="rId41" display="https://www.icirnigeria.org/tunde-onakoya-sets-new-gwr-with-64-hour-chess-marathon-in-new-york/"/>
    <hyperlink ref="Q43" r:id="rId42" display="https://www.boston.com/sports/olympics/2018/02/20/nigeria-savors-its-olympic-bobsled-debut-moment/"/>
    <hyperlink ref="Q44" r:id="rId43" display="https://en.wikipedia.org/wiki/Chika_Chukwumerije"/>
    <hyperlink ref="Q45" r:id="rId44" display="https://en.wikipedia.org/wiki/Dick_Tiger"/>
    <hyperlink ref="Q46" r:id="rId45" display="https://en.wikipedia.org/wiki/Hogan_Bassey"/>
    <hyperlink ref="Q47" r:id="rId46" display="https://en.wikipedia.org/wiki/Anthony_Joshua"/>
    <hyperlink ref="Q48" r:id="rId47" display="https://en.wikipedia.org/wiki/Masai_Ujiri"/>
    <hyperlink ref="Q49" r:id="rId48" display="https://en.wikipedia.org/wiki/2021_BAL_season"/>
    <hyperlink ref="Q50" r:id="rId49" display="https://en.wikipedia.org/wiki/Dambe"/>
    <hyperlink ref="Q51" r:id="rId50" display="https://en.wikipedia.org/wiki/Lutte_Traditionnelle"/>
    <hyperlink ref="Q52" r:id="rId51" display="https://en.wikipedia.org/wiki/Blessing_Oborududu"/>
    <hyperlink ref="Q53" r:id="rId52" display="https://en.wikipedia.org/wiki/Daniel_Igali"/>
    <hyperlink ref="Q54" r:id="rId53" display="https://www.guinnessworldrecords.com/world-records/longest-chess-marathon"/>
    <hyperlink ref="Q55" r:id="rId54" display="https://www.liverpoolfootprint.co.uk/boxers"/>
    <hyperlink ref="Q56" r:id="rId55" display="https://en.wikipedia.org/wiki/2012_FIBA_World_Olympic_Qualifying_Tournament_for_Men"/>
    <hyperlink ref="Q57" r:id="rId56" display="https://en.wikipedia.org/wiki/Quadri_Aruna"/>
    <hyperlink ref="Q58" r:id="rId57" display="https://www.olympedia.org/athletes/1014"/>
    <hyperlink ref="Q59" r:id="rId58" display="https://en.wikipedia.org/wiki/Odunayo_Adekuoroye"/>
    <hyperlink ref="Q60" r:id="rId59" display="https://newtelegraphng.com/?p=444625"/>
    <hyperlink ref="Q61" r:id="rId60" display="https://en.wikipedia.org/wiki/Samuel_Peter"/>
    <hyperlink ref="Q62" r:id="rId61" display="https://www.fiba.basketball/en/events/fiba-womens-afrobasket-qualifiers-2027/all-time-medalists-"/>
    <hyperlink ref="Q63" r:id="rId62" display="https://www.infobae.com/aroundtherings/federations/2021/07/12/nigeria-beat-angola-in-afrobasket-2015-final-to-win-first-ever-continental-title"/>
    <hyperlink ref="Q64" r:id="rId63" display="https://www.olympedia.org/athletes/1023"/>
    <hyperlink ref="Q65" r:id="rId64" display="https://thisdaylive.com/index.php/2022/07/30/birmingham-2022-olarinoye-wins-nigerias-first-gold-meda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2026-10-28T14:35:44Z</dcterms:created>
  <dc:creator>openpyxl</dc:creator>
  <dc:description/>
  <dc:language>en-US</dc:language>
  <cp:lastModifiedBy/>
  <dcterms:modified xsi:type="dcterms:W3CDTF">2026-10-28T14:35:44Z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